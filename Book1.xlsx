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tpl-my.sharepoint.com/personal/smita_joshi_yash_com/Documents/Desktop/TCI Profitability/"/>
    </mc:Choice>
  </mc:AlternateContent>
  <xr:revisionPtr revIDLastSave="167" documentId="8_{685693B3-1356-4AF2-A2FD-2813778EF609}" xr6:coauthVersionLast="47" xr6:coauthVersionMax="47" xr10:uidLastSave="{051B88D4-AB3B-46F0-9FD2-9A3E6F488D49}"/>
  <bookViews>
    <workbookView xWindow="-110" yWindow="-110" windowWidth="19420" windowHeight="10420" activeTab="1" xr2:uid="{7895A684-8C3A-4D91-98CD-7DF44A30BBE8}"/>
  </bookViews>
  <sheets>
    <sheet name="Sri - Resource Master -May " sheetId="4" r:id="rId1"/>
    <sheet name="for Kishore use" sheetId="3" r:id="rId2"/>
    <sheet name="Sheet3" sheetId="5" r:id="rId3"/>
    <sheet name="Employee detail" sheetId="1" r:id="rId4"/>
  </sheets>
  <definedNames>
    <definedName name="_xlnm._FilterDatabase" localSheetId="3" hidden="1">'Employee detail'!$A$1:$J$220</definedName>
    <definedName name="_xlnm._FilterDatabase" localSheetId="1" hidden="1">'for Kishore use'!$A$1:$AF$208</definedName>
    <definedName name="_xlnm._FilterDatabase" localSheetId="0" hidden="1">'Sri - Resource Master -May '!$A$1:$O$36</definedName>
    <definedName name="BusinessCapabilities">#REF!</definedName>
    <definedName name="Domain">#REF!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5" l="1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N41" i="4"/>
  <c r="O41" i="4" s="1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8" i="4"/>
  <c r="K7" i="4"/>
  <c r="K6" i="4"/>
  <c r="K5" i="4"/>
  <c r="K4" i="4"/>
  <c r="K3" i="4"/>
  <c r="K2" i="4"/>
  <c r="S145" i="3"/>
  <c r="R145" i="3"/>
  <c r="O145" i="3"/>
  <c r="S118" i="3"/>
  <c r="R118" i="3"/>
  <c r="O118" i="3"/>
  <c r="S83" i="3"/>
  <c r="R83" i="3"/>
  <c r="O83" i="3"/>
  <c r="S42" i="3"/>
  <c r="R42" i="3"/>
  <c r="O42" i="3"/>
  <c r="S144" i="3"/>
  <c r="R144" i="3"/>
  <c r="O144" i="3"/>
  <c r="S82" i="3"/>
  <c r="R82" i="3"/>
  <c r="O82" i="3"/>
  <c r="S41" i="3"/>
  <c r="R41" i="3"/>
  <c r="O41" i="3"/>
  <c r="S98" i="3"/>
  <c r="R98" i="3"/>
  <c r="O98" i="3"/>
  <c r="S40" i="3"/>
  <c r="R40" i="3"/>
  <c r="O40" i="3"/>
  <c r="S171" i="3"/>
  <c r="R171" i="3"/>
  <c r="O171" i="3"/>
  <c r="S170" i="3"/>
  <c r="R170" i="3"/>
  <c r="O170" i="3"/>
  <c r="S39" i="3"/>
  <c r="R39" i="3"/>
  <c r="O39" i="3"/>
  <c r="S130" i="3"/>
  <c r="R130" i="3"/>
  <c r="O130" i="3"/>
  <c r="S81" i="3"/>
  <c r="R81" i="3"/>
  <c r="O81" i="3"/>
  <c r="S38" i="3"/>
  <c r="R38" i="3"/>
  <c r="O38" i="3"/>
  <c r="S80" i="3"/>
  <c r="R80" i="3"/>
  <c r="O80" i="3"/>
  <c r="S79" i="3"/>
  <c r="R79" i="3"/>
  <c r="O79" i="3"/>
  <c r="S78" i="3"/>
  <c r="R78" i="3"/>
  <c r="O78" i="3"/>
  <c r="S169" i="3"/>
  <c r="R169" i="3"/>
  <c r="O169" i="3"/>
  <c r="S77" i="3"/>
  <c r="R77" i="3"/>
  <c r="O77" i="3"/>
  <c r="S76" i="3"/>
  <c r="R76" i="3"/>
  <c r="O76" i="3"/>
  <c r="S143" i="3"/>
  <c r="R143" i="3"/>
  <c r="O143" i="3"/>
  <c r="S117" i="3"/>
  <c r="R117" i="3"/>
  <c r="O117" i="3"/>
  <c r="S75" i="3"/>
  <c r="R75" i="3"/>
  <c r="O75" i="3"/>
  <c r="S74" i="3"/>
  <c r="R74" i="3"/>
  <c r="O74" i="3"/>
  <c r="S104" i="3"/>
  <c r="R104" i="3"/>
  <c r="O104" i="3"/>
  <c r="S73" i="3"/>
  <c r="R73" i="3"/>
  <c r="O73" i="3"/>
  <c r="S129" i="3"/>
  <c r="R129" i="3"/>
  <c r="O129" i="3"/>
  <c r="S116" i="3"/>
  <c r="R116" i="3"/>
  <c r="O116" i="3"/>
  <c r="S128" i="3"/>
  <c r="R128" i="3"/>
  <c r="O128" i="3"/>
  <c r="S168" i="3"/>
  <c r="R168" i="3"/>
  <c r="O168" i="3"/>
  <c r="S72" i="3"/>
  <c r="R72" i="3"/>
  <c r="O72" i="3"/>
  <c r="S37" i="3"/>
  <c r="R37" i="3"/>
  <c r="O37" i="3"/>
  <c r="S156" i="3"/>
  <c r="R156" i="3"/>
  <c r="O156" i="3"/>
  <c r="S142" i="3"/>
  <c r="R142" i="3"/>
  <c r="O142" i="3"/>
  <c r="S115" i="3"/>
  <c r="R115" i="3"/>
  <c r="O115" i="3"/>
  <c r="S36" i="3"/>
  <c r="R36" i="3"/>
  <c r="O36" i="3"/>
  <c r="S204" i="3"/>
  <c r="R204" i="3"/>
  <c r="O204" i="3"/>
  <c r="S97" i="3"/>
  <c r="R97" i="3"/>
  <c r="O97" i="3"/>
  <c r="S208" i="3"/>
  <c r="R208" i="3"/>
  <c r="O208" i="3"/>
  <c r="S35" i="3"/>
  <c r="R35" i="3"/>
  <c r="O35" i="3"/>
  <c r="S167" i="3"/>
  <c r="R167" i="3"/>
  <c r="O167" i="3"/>
  <c r="S34" i="3"/>
  <c r="R34" i="3"/>
  <c r="O34" i="3"/>
  <c r="S155" i="3"/>
  <c r="R155" i="3"/>
  <c r="O155" i="3"/>
  <c r="S96" i="3"/>
  <c r="R96" i="3"/>
  <c r="O96" i="3"/>
  <c r="S71" i="3"/>
  <c r="R71" i="3"/>
  <c r="O71" i="3"/>
  <c r="S70" i="3"/>
  <c r="R70" i="3"/>
  <c r="O70" i="3"/>
  <c r="S103" i="3"/>
  <c r="R103" i="3"/>
  <c r="O103" i="3"/>
  <c r="S141" i="3"/>
  <c r="R141" i="3"/>
  <c r="O141" i="3"/>
  <c r="S140" i="3"/>
  <c r="R140" i="3"/>
  <c r="O140" i="3"/>
  <c r="S33" i="3"/>
  <c r="R33" i="3"/>
  <c r="O33" i="3"/>
  <c r="S32" i="3"/>
  <c r="R32" i="3"/>
  <c r="O32" i="3"/>
  <c r="S166" i="3"/>
  <c r="R166" i="3"/>
  <c r="O166" i="3"/>
  <c r="S133" i="3"/>
  <c r="R133" i="3"/>
  <c r="O133" i="3"/>
  <c r="S139" i="3"/>
  <c r="R139" i="3"/>
  <c r="O139" i="3"/>
  <c r="S132" i="3"/>
  <c r="R132" i="3"/>
  <c r="O132" i="3"/>
  <c r="S165" i="3"/>
  <c r="R165" i="3"/>
  <c r="O165" i="3"/>
  <c r="S31" i="3"/>
  <c r="R31" i="3"/>
  <c r="O31" i="3"/>
  <c r="S30" i="3"/>
  <c r="R30" i="3"/>
  <c r="O30" i="3"/>
  <c r="S29" i="3"/>
  <c r="R29" i="3"/>
  <c r="O29" i="3"/>
  <c r="S28" i="3"/>
  <c r="R28" i="3"/>
  <c r="O28" i="3"/>
  <c r="S27" i="3"/>
  <c r="R27" i="3"/>
  <c r="O27" i="3"/>
  <c r="S69" i="3"/>
  <c r="R69" i="3"/>
  <c r="O69" i="3"/>
  <c r="S68" i="3"/>
  <c r="R68" i="3"/>
  <c r="O68" i="3"/>
  <c r="S26" i="3"/>
  <c r="R26" i="3"/>
  <c r="O26" i="3"/>
  <c r="S67" i="3"/>
  <c r="R67" i="3"/>
  <c r="O67" i="3"/>
  <c r="S66" i="3"/>
  <c r="R66" i="3"/>
  <c r="O66" i="3"/>
  <c r="S127" i="3"/>
  <c r="R127" i="3"/>
  <c r="O127" i="3"/>
  <c r="S25" i="3"/>
  <c r="R25" i="3"/>
  <c r="O25" i="3"/>
  <c r="S65" i="3"/>
  <c r="R65" i="3"/>
  <c r="O65" i="3"/>
  <c r="S24" i="3"/>
  <c r="R24" i="3"/>
  <c r="O24" i="3"/>
  <c r="S95" i="3"/>
  <c r="R95" i="3"/>
  <c r="O95" i="3"/>
  <c r="S23" i="3"/>
  <c r="R23" i="3"/>
  <c r="O23" i="3"/>
  <c r="S203" i="3"/>
  <c r="R203" i="3"/>
  <c r="O203" i="3"/>
  <c r="S126" i="3"/>
  <c r="R126" i="3"/>
  <c r="O126" i="3"/>
  <c r="S125" i="3"/>
  <c r="R125" i="3"/>
  <c r="O125" i="3"/>
  <c r="S22" i="3"/>
  <c r="R22" i="3"/>
  <c r="O22" i="3"/>
  <c r="S102" i="3"/>
  <c r="R102" i="3"/>
  <c r="O102" i="3"/>
  <c r="S64" i="3"/>
  <c r="R64" i="3"/>
  <c r="O64" i="3"/>
  <c r="S94" i="3"/>
  <c r="R94" i="3"/>
  <c r="O94" i="3"/>
  <c r="S109" i="3"/>
  <c r="R109" i="3"/>
  <c r="O109" i="3"/>
  <c r="S63" i="3"/>
  <c r="R63" i="3"/>
  <c r="O63" i="3"/>
  <c r="S164" i="3"/>
  <c r="R164" i="3"/>
  <c r="O164" i="3"/>
  <c r="S108" i="3"/>
  <c r="R108" i="3"/>
  <c r="O108" i="3"/>
  <c r="S124" i="3"/>
  <c r="R124" i="3"/>
  <c r="O124" i="3"/>
  <c r="S202" i="3"/>
  <c r="R202" i="3"/>
  <c r="O202" i="3"/>
  <c r="S21" i="3"/>
  <c r="R21" i="3"/>
  <c r="O21" i="3"/>
  <c r="S201" i="3"/>
  <c r="R201" i="3"/>
  <c r="O201" i="3"/>
  <c r="S123" i="3"/>
  <c r="R123" i="3"/>
  <c r="O123" i="3"/>
  <c r="S107" i="3"/>
  <c r="R107" i="3"/>
  <c r="O107" i="3"/>
  <c r="S62" i="3"/>
  <c r="R62" i="3"/>
  <c r="O62" i="3"/>
  <c r="S20" i="3"/>
  <c r="R20" i="3"/>
  <c r="O20" i="3"/>
  <c r="S61" i="3"/>
  <c r="R61" i="3"/>
  <c r="O61" i="3"/>
  <c r="S122" i="3"/>
  <c r="R122" i="3"/>
  <c r="O122" i="3"/>
  <c r="S163" i="3"/>
  <c r="R163" i="3"/>
  <c r="O163" i="3"/>
  <c r="S121" i="3"/>
  <c r="R121" i="3"/>
  <c r="O121" i="3"/>
  <c r="S93" i="3"/>
  <c r="R93" i="3"/>
  <c r="O93" i="3"/>
  <c r="S60" i="3"/>
  <c r="R60" i="3"/>
  <c r="O60" i="3"/>
  <c r="S59" i="3"/>
  <c r="R59" i="3"/>
  <c r="O59" i="3"/>
  <c r="S19" i="3"/>
  <c r="R19" i="3"/>
  <c r="O19" i="3"/>
  <c r="S92" i="3"/>
  <c r="R92" i="3"/>
  <c r="O92" i="3"/>
  <c r="S149" i="3"/>
  <c r="R149" i="3"/>
  <c r="O149" i="3"/>
  <c r="S200" i="3"/>
  <c r="R200" i="3"/>
  <c r="O200" i="3"/>
  <c r="S199" i="3"/>
  <c r="R199" i="3"/>
  <c r="O199" i="3"/>
  <c r="S120" i="3"/>
  <c r="R120" i="3"/>
  <c r="O120" i="3"/>
  <c r="S18" i="3"/>
  <c r="R18" i="3"/>
  <c r="O18" i="3"/>
  <c r="S17" i="3"/>
  <c r="R17" i="3"/>
  <c r="O17" i="3"/>
  <c r="S131" i="3"/>
  <c r="R131" i="3"/>
  <c r="O131" i="3"/>
  <c r="S162" i="3"/>
  <c r="R162" i="3"/>
  <c r="O162" i="3"/>
  <c r="S101" i="3"/>
  <c r="R101" i="3"/>
  <c r="O101" i="3"/>
  <c r="S16" i="3"/>
  <c r="R16" i="3"/>
  <c r="O16" i="3"/>
  <c r="S198" i="3"/>
  <c r="R198" i="3"/>
  <c r="O198" i="3"/>
  <c r="S100" i="3"/>
  <c r="R100" i="3"/>
  <c r="O100" i="3"/>
  <c r="S15" i="3"/>
  <c r="R15" i="3"/>
  <c r="O15" i="3"/>
  <c r="S58" i="3"/>
  <c r="R58" i="3"/>
  <c r="O58" i="3"/>
  <c r="S14" i="3"/>
  <c r="R14" i="3"/>
  <c r="O14" i="3"/>
  <c r="S161" i="3"/>
  <c r="R161" i="3"/>
  <c r="O161" i="3"/>
  <c r="S105" i="3"/>
  <c r="R105" i="3"/>
  <c r="O105" i="3"/>
  <c r="S148" i="3"/>
  <c r="R148" i="3"/>
  <c r="O148" i="3"/>
  <c r="S91" i="3"/>
  <c r="R91" i="3"/>
  <c r="O91" i="3"/>
  <c r="S57" i="3"/>
  <c r="R57" i="3"/>
  <c r="O57" i="3"/>
  <c r="S56" i="3"/>
  <c r="R56" i="3"/>
  <c r="O56" i="3"/>
  <c r="S119" i="3"/>
  <c r="R119" i="3"/>
  <c r="O119" i="3"/>
  <c r="S160" i="3"/>
  <c r="R160" i="3"/>
  <c r="O160" i="3"/>
  <c r="S55" i="3"/>
  <c r="R55" i="3"/>
  <c r="O55" i="3"/>
  <c r="S106" i="3"/>
  <c r="R106" i="3"/>
  <c r="O106" i="3"/>
  <c r="S99" i="3"/>
  <c r="R99" i="3"/>
  <c r="O99" i="3"/>
  <c r="S197" i="3"/>
  <c r="R197" i="3"/>
  <c r="O197" i="3"/>
  <c r="S54" i="3"/>
  <c r="R54" i="3"/>
  <c r="O54" i="3"/>
  <c r="S90" i="3"/>
  <c r="R90" i="3"/>
  <c r="O90" i="3"/>
  <c r="S159" i="3"/>
  <c r="R159" i="3"/>
  <c r="O159" i="3"/>
  <c r="S53" i="3"/>
  <c r="R53" i="3"/>
  <c r="O53" i="3"/>
  <c r="S154" i="3"/>
  <c r="R154" i="3"/>
  <c r="O154" i="3"/>
  <c r="S13" i="3"/>
  <c r="R13" i="3"/>
  <c r="O13" i="3"/>
  <c r="S52" i="3"/>
  <c r="R52" i="3"/>
  <c r="O52" i="3"/>
  <c r="S51" i="3"/>
  <c r="R51" i="3"/>
  <c r="O51" i="3"/>
  <c r="S196" i="3"/>
  <c r="R196" i="3"/>
  <c r="O196" i="3"/>
  <c r="S147" i="3"/>
  <c r="R147" i="3"/>
  <c r="O147" i="3"/>
  <c r="S12" i="3"/>
  <c r="R12" i="3"/>
  <c r="O12" i="3"/>
  <c r="S158" i="3"/>
  <c r="R158" i="3"/>
  <c r="O158" i="3"/>
  <c r="S50" i="3"/>
  <c r="R50" i="3"/>
  <c r="O50" i="3"/>
  <c r="S11" i="3"/>
  <c r="R11" i="3"/>
  <c r="O11" i="3"/>
  <c r="S49" i="3"/>
  <c r="R49" i="3"/>
  <c r="O49" i="3"/>
  <c r="S89" i="3"/>
  <c r="R89" i="3"/>
  <c r="O89" i="3"/>
  <c r="S195" i="3"/>
  <c r="R195" i="3"/>
  <c r="O195" i="3"/>
  <c r="S194" i="3"/>
  <c r="R194" i="3"/>
  <c r="O194" i="3"/>
  <c r="S10" i="3"/>
  <c r="R10" i="3"/>
  <c r="O10" i="3"/>
  <c r="S9" i="3"/>
  <c r="R9" i="3"/>
  <c r="O9" i="3"/>
  <c r="S114" i="3"/>
  <c r="R114" i="3"/>
  <c r="O114" i="3"/>
  <c r="S48" i="3"/>
  <c r="R48" i="3"/>
  <c r="O48" i="3"/>
  <c r="S157" i="3"/>
  <c r="R157" i="3"/>
  <c r="O157" i="3"/>
  <c r="S8" i="3"/>
  <c r="R8" i="3"/>
  <c r="O8" i="3"/>
  <c r="S138" i="3"/>
  <c r="R138" i="3"/>
  <c r="O138" i="3"/>
  <c r="S47" i="3"/>
  <c r="R47" i="3"/>
  <c r="O47" i="3"/>
  <c r="S7" i="3"/>
  <c r="R7" i="3"/>
  <c r="O7" i="3"/>
  <c r="S88" i="3"/>
  <c r="R88" i="3"/>
  <c r="O88" i="3"/>
  <c r="S46" i="3"/>
  <c r="R46" i="3"/>
  <c r="O46" i="3"/>
  <c r="S137" i="3"/>
  <c r="R137" i="3"/>
  <c r="O137" i="3"/>
  <c r="S87" i="3"/>
  <c r="R87" i="3"/>
  <c r="O87" i="3"/>
  <c r="S45" i="3"/>
  <c r="R45" i="3"/>
  <c r="O45" i="3"/>
  <c r="S44" i="3"/>
  <c r="R44" i="3"/>
  <c r="O44" i="3"/>
  <c r="S193" i="3"/>
  <c r="R193" i="3"/>
  <c r="O193" i="3"/>
  <c r="S6" i="3"/>
  <c r="R6" i="3"/>
  <c r="O6" i="3"/>
  <c r="S192" i="3"/>
  <c r="R192" i="3"/>
  <c r="O192" i="3"/>
  <c r="S191" i="3"/>
  <c r="R191" i="3"/>
  <c r="O191" i="3"/>
  <c r="S190" i="3"/>
  <c r="R190" i="3"/>
  <c r="O190" i="3"/>
  <c r="S5" i="3"/>
  <c r="R5" i="3"/>
  <c r="O5" i="3"/>
  <c r="S4" i="3"/>
  <c r="R4" i="3"/>
  <c r="O4" i="3"/>
  <c r="S3" i="3"/>
  <c r="R3" i="3"/>
  <c r="O3" i="3"/>
  <c r="S43" i="3"/>
  <c r="R43" i="3"/>
  <c r="O43" i="3"/>
  <c r="S113" i="3"/>
  <c r="R113" i="3"/>
  <c r="O113" i="3"/>
  <c r="S2" i="3"/>
  <c r="R2" i="3"/>
  <c r="O2" i="3"/>
  <c r="T197" i="3" l="1"/>
  <c r="U197" i="3" s="1"/>
  <c r="V197" i="3" s="1"/>
  <c r="T96" i="3"/>
  <c r="U96" i="3" s="1"/>
  <c r="V96" i="3" s="1"/>
  <c r="T36" i="3"/>
  <c r="U36" i="3" s="1"/>
  <c r="V36" i="3" s="1"/>
  <c r="T21" i="3"/>
  <c r="U21" i="3" s="1"/>
  <c r="V21" i="3" s="1"/>
  <c r="T139" i="3"/>
  <c r="U139" i="3" s="1"/>
  <c r="V139" i="3" s="1"/>
  <c r="T47" i="3"/>
  <c r="U47" i="3" s="1"/>
  <c r="V47" i="3" s="1"/>
  <c r="T90" i="3"/>
  <c r="U90" i="3" s="1"/>
  <c r="V90" i="3" s="1"/>
  <c r="T104" i="3"/>
  <c r="U104" i="3" s="1"/>
  <c r="V104" i="3" s="1"/>
  <c r="T44" i="3"/>
  <c r="U44" i="3" s="1"/>
  <c r="V44" i="3" s="1"/>
  <c r="T67" i="3"/>
  <c r="U67" i="3" s="1"/>
  <c r="V67" i="3" s="1"/>
  <c r="T3" i="3"/>
  <c r="U3" i="3" s="1"/>
  <c r="V3" i="3" s="1"/>
  <c r="T91" i="3"/>
  <c r="U91" i="3" s="1"/>
  <c r="V91" i="3" s="1"/>
  <c r="T120" i="3"/>
  <c r="U120" i="3" s="1"/>
  <c r="V120" i="3" s="1"/>
  <c r="T154" i="3"/>
  <c r="U154" i="3" s="1"/>
  <c r="V154" i="3" s="1"/>
  <c r="T103" i="3"/>
  <c r="U103" i="3" s="1"/>
  <c r="V103" i="3" s="1"/>
  <c r="T51" i="3"/>
  <c r="U51" i="3" s="1"/>
  <c r="V51" i="3" s="1"/>
  <c r="T93" i="3"/>
  <c r="U93" i="3" s="1"/>
  <c r="V93" i="3" s="1"/>
  <c r="T123" i="3"/>
  <c r="U123" i="3" s="1"/>
  <c r="V123" i="3" s="1"/>
  <c r="T109" i="3"/>
  <c r="U109" i="3" s="1"/>
  <c r="V109" i="3" s="1"/>
  <c r="T41" i="3"/>
  <c r="U41" i="3" s="1"/>
  <c r="V41" i="3" s="1"/>
  <c r="T114" i="3"/>
  <c r="U114" i="3" s="1"/>
  <c r="V114" i="3" s="1"/>
  <c r="T199" i="3"/>
  <c r="U199" i="3" s="1"/>
  <c r="V199" i="3" s="1"/>
  <c r="T121" i="3"/>
  <c r="U121" i="3" s="1"/>
  <c r="V121" i="3" s="1"/>
  <c r="T201" i="3"/>
  <c r="U201" i="3" s="1"/>
  <c r="V201" i="3" s="1"/>
  <c r="T94" i="3"/>
  <c r="U94" i="3" s="1"/>
  <c r="V94" i="3" s="1"/>
  <c r="T68" i="3"/>
  <c r="U68" i="3" s="1"/>
  <c r="V68" i="3" s="1"/>
  <c r="T88" i="3"/>
  <c r="U88" i="3" s="1"/>
  <c r="V88" i="3" s="1"/>
  <c r="T14" i="3"/>
  <c r="U14" i="3" s="1"/>
  <c r="V14" i="3" s="1"/>
  <c r="T131" i="3"/>
  <c r="U131" i="3" s="1"/>
  <c r="V131" i="3" s="1"/>
  <c r="T25" i="3"/>
  <c r="U25" i="3" s="1"/>
  <c r="V25" i="3" s="1"/>
  <c r="T133" i="3"/>
  <c r="U133" i="3" s="1"/>
  <c r="V133" i="3" s="1"/>
  <c r="T71" i="3"/>
  <c r="U71" i="3" s="1"/>
  <c r="V71" i="3" s="1"/>
  <c r="T204" i="3"/>
  <c r="U204" i="3" s="1"/>
  <c r="V204" i="3" s="1"/>
  <c r="T168" i="3"/>
  <c r="U168" i="3" s="1"/>
  <c r="V168" i="3" s="1"/>
  <c r="T118" i="3"/>
  <c r="U118" i="3" s="1"/>
  <c r="V118" i="3" s="1"/>
  <c r="T48" i="3"/>
  <c r="U48" i="3" s="1"/>
  <c r="V48" i="3" s="1"/>
  <c r="T106" i="3"/>
  <c r="U106" i="3" s="1"/>
  <c r="V106" i="3" s="1"/>
  <c r="T18" i="3"/>
  <c r="U18" i="3" s="1"/>
  <c r="V18" i="3" s="1"/>
  <c r="T60" i="3"/>
  <c r="U60" i="3" s="1"/>
  <c r="V60" i="3" s="1"/>
  <c r="T107" i="3"/>
  <c r="U107" i="3" s="1"/>
  <c r="V107" i="3" s="1"/>
  <c r="T63" i="3"/>
  <c r="U63" i="3" s="1"/>
  <c r="V63" i="3" s="1"/>
  <c r="T203" i="3"/>
  <c r="U203" i="3" s="1"/>
  <c r="V203" i="3" s="1"/>
  <c r="T45" i="3"/>
  <c r="U45" i="3" s="1"/>
  <c r="V45" i="3" s="1"/>
  <c r="T58" i="3"/>
  <c r="U58" i="3" s="1"/>
  <c r="V58" i="3" s="1"/>
  <c r="T33" i="3"/>
  <c r="U33" i="3" s="1"/>
  <c r="V33" i="3" s="1"/>
  <c r="T50" i="3"/>
  <c r="U50" i="3" s="1"/>
  <c r="V50" i="3" s="1"/>
  <c r="T161" i="3"/>
  <c r="U161" i="3" s="1"/>
  <c r="V161" i="3" s="1"/>
  <c r="T208" i="3"/>
  <c r="U208" i="3" s="1"/>
  <c r="V208" i="3" s="1"/>
  <c r="T4" i="3"/>
  <c r="U4" i="3" s="1"/>
  <c r="V4" i="3" s="1"/>
  <c r="T49" i="3"/>
  <c r="U49" i="3" s="1"/>
  <c r="V49" i="3" s="1"/>
  <c r="T99" i="3"/>
  <c r="U99" i="3" s="1"/>
  <c r="V99" i="3" s="1"/>
  <c r="T15" i="3"/>
  <c r="U15" i="3" s="1"/>
  <c r="V15" i="3" s="1"/>
  <c r="T27" i="3"/>
  <c r="U27" i="3" s="1"/>
  <c r="V27" i="3" s="1"/>
  <c r="T140" i="3"/>
  <c r="U140" i="3" s="1"/>
  <c r="V140" i="3" s="1"/>
  <c r="T193" i="3"/>
  <c r="U193" i="3" s="1"/>
  <c r="V193" i="3" s="1"/>
  <c r="T137" i="3"/>
  <c r="U137" i="3" s="1"/>
  <c r="V137" i="3" s="1"/>
  <c r="T138" i="3"/>
  <c r="U138" i="3" s="1"/>
  <c r="V138" i="3" s="1"/>
  <c r="T53" i="3"/>
  <c r="U53" i="3" s="1"/>
  <c r="V53" i="3" s="1"/>
  <c r="T56" i="3"/>
  <c r="U56" i="3" s="1"/>
  <c r="V56" i="3" s="1"/>
  <c r="T162" i="3"/>
  <c r="U162" i="3" s="1"/>
  <c r="V162" i="3" s="1"/>
  <c r="T17" i="3"/>
  <c r="U17" i="3" s="1"/>
  <c r="V17" i="3" s="1"/>
  <c r="T19" i="3"/>
  <c r="U19" i="3" s="1"/>
  <c r="V19" i="3" s="1"/>
  <c r="T20" i="3"/>
  <c r="U20" i="3" s="1"/>
  <c r="V20" i="3" s="1"/>
  <c r="T108" i="3"/>
  <c r="U108" i="3" s="1"/>
  <c r="V108" i="3" s="1"/>
  <c r="T125" i="3"/>
  <c r="U125" i="3" s="1"/>
  <c r="V125" i="3" s="1"/>
  <c r="T31" i="3"/>
  <c r="U31" i="3" s="1"/>
  <c r="V31" i="3" s="1"/>
  <c r="T35" i="3"/>
  <c r="U35" i="3" s="1"/>
  <c r="V35" i="3" s="1"/>
  <c r="T37" i="3"/>
  <c r="U37" i="3" s="1"/>
  <c r="V37" i="3" s="1"/>
  <c r="T74" i="3"/>
  <c r="U74" i="3" s="1"/>
  <c r="V74" i="3" s="1"/>
  <c r="T79" i="3"/>
  <c r="U79" i="3" s="1"/>
  <c r="V79" i="3" s="1"/>
  <c r="T40" i="3"/>
  <c r="U40" i="3" s="1"/>
  <c r="V40" i="3" s="1"/>
  <c r="T5" i="3"/>
  <c r="U5" i="3" s="1"/>
  <c r="V5" i="3" s="1"/>
  <c r="T192" i="3"/>
  <c r="U192" i="3" s="1"/>
  <c r="V192" i="3" s="1"/>
  <c r="T10" i="3"/>
  <c r="U10" i="3" s="1"/>
  <c r="V10" i="3" s="1"/>
  <c r="T11" i="3"/>
  <c r="U11" i="3" s="1"/>
  <c r="V11" i="3" s="1"/>
  <c r="T12" i="3"/>
  <c r="U12" i="3" s="1"/>
  <c r="V12" i="3" s="1"/>
  <c r="T160" i="3"/>
  <c r="U160" i="3" s="1"/>
  <c r="V160" i="3" s="1"/>
  <c r="T148" i="3"/>
  <c r="U148" i="3" s="1"/>
  <c r="V148" i="3" s="1"/>
  <c r="T16" i="3"/>
  <c r="U16" i="3" s="1"/>
  <c r="V16" i="3" s="1"/>
  <c r="T149" i="3"/>
  <c r="U149" i="3" s="1"/>
  <c r="V149" i="3" s="1"/>
  <c r="T122" i="3"/>
  <c r="U122" i="3" s="1"/>
  <c r="V122" i="3" s="1"/>
  <c r="T202" i="3"/>
  <c r="U202" i="3" s="1"/>
  <c r="V202" i="3" s="1"/>
  <c r="T102" i="3"/>
  <c r="U102" i="3" s="1"/>
  <c r="V102" i="3" s="1"/>
  <c r="T23" i="3"/>
  <c r="U23" i="3" s="1"/>
  <c r="V23" i="3" s="1"/>
  <c r="T127" i="3"/>
  <c r="U127" i="3" s="1"/>
  <c r="V127" i="3" s="1"/>
  <c r="T29" i="3"/>
  <c r="U29" i="3" s="1"/>
  <c r="V29" i="3" s="1"/>
  <c r="T34" i="3"/>
  <c r="U34" i="3" s="1"/>
  <c r="V34" i="3" s="1"/>
  <c r="T142" i="3"/>
  <c r="U142" i="3" s="1"/>
  <c r="V142" i="3" s="1"/>
  <c r="T143" i="3"/>
  <c r="U143" i="3" s="1"/>
  <c r="V143" i="3" s="1"/>
  <c r="T169" i="3"/>
  <c r="U169" i="3" s="1"/>
  <c r="V169" i="3" s="1"/>
  <c r="T81" i="3"/>
  <c r="U81" i="3" s="1"/>
  <c r="V81" i="3" s="1"/>
  <c r="T170" i="3"/>
  <c r="U170" i="3" s="1"/>
  <c r="V170" i="3" s="1"/>
  <c r="T42" i="3"/>
  <c r="U42" i="3" s="1"/>
  <c r="V42" i="3" s="1"/>
  <c r="T43" i="3"/>
  <c r="U43" i="3" s="1"/>
  <c r="V43" i="3" s="1"/>
  <c r="T46" i="3"/>
  <c r="U46" i="3" s="1"/>
  <c r="V46" i="3" s="1"/>
  <c r="T8" i="3"/>
  <c r="U8" i="3" s="1"/>
  <c r="V8" i="3" s="1"/>
  <c r="T89" i="3"/>
  <c r="U89" i="3" s="1"/>
  <c r="V89" i="3" s="1"/>
  <c r="T57" i="3"/>
  <c r="U57" i="3" s="1"/>
  <c r="V57" i="3" s="1"/>
  <c r="T59" i="3"/>
  <c r="U59" i="3" s="1"/>
  <c r="V59" i="3" s="1"/>
  <c r="T62" i="3"/>
  <c r="U62" i="3" s="1"/>
  <c r="V62" i="3" s="1"/>
  <c r="T164" i="3"/>
  <c r="U164" i="3" s="1"/>
  <c r="V164" i="3" s="1"/>
  <c r="T65" i="3"/>
  <c r="U65" i="3" s="1"/>
  <c r="V65" i="3" s="1"/>
  <c r="T26" i="3"/>
  <c r="U26" i="3" s="1"/>
  <c r="V26" i="3" s="1"/>
  <c r="T165" i="3"/>
  <c r="U165" i="3" s="1"/>
  <c r="V165" i="3" s="1"/>
  <c r="T166" i="3"/>
  <c r="U166" i="3" s="1"/>
  <c r="V166" i="3" s="1"/>
  <c r="T129" i="3"/>
  <c r="U129" i="3" s="1"/>
  <c r="V129" i="3" s="1"/>
  <c r="T2" i="3"/>
  <c r="U2" i="3" s="1"/>
  <c r="V2" i="3" s="1"/>
  <c r="T6" i="3"/>
  <c r="U6" i="3" s="1"/>
  <c r="V6" i="3" s="1"/>
  <c r="T194" i="3"/>
  <c r="U194" i="3" s="1"/>
  <c r="V194" i="3" s="1"/>
  <c r="T119" i="3"/>
  <c r="U119" i="3" s="1"/>
  <c r="V119" i="3" s="1"/>
  <c r="T101" i="3"/>
  <c r="U101" i="3" s="1"/>
  <c r="V101" i="3" s="1"/>
  <c r="T92" i="3"/>
  <c r="U92" i="3" s="1"/>
  <c r="V92" i="3" s="1"/>
  <c r="T61" i="3"/>
  <c r="U61" i="3" s="1"/>
  <c r="V61" i="3" s="1"/>
  <c r="T124" i="3"/>
  <c r="U124" i="3" s="1"/>
  <c r="V124" i="3" s="1"/>
  <c r="T22" i="3"/>
  <c r="U22" i="3" s="1"/>
  <c r="V22" i="3" s="1"/>
  <c r="T95" i="3"/>
  <c r="U95" i="3" s="1"/>
  <c r="V95" i="3" s="1"/>
  <c r="T30" i="3"/>
  <c r="U30" i="3" s="1"/>
  <c r="V30" i="3" s="1"/>
  <c r="T167" i="3"/>
  <c r="U167" i="3" s="1"/>
  <c r="V167" i="3" s="1"/>
  <c r="T156" i="3"/>
  <c r="U156" i="3" s="1"/>
  <c r="V156" i="3" s="1"/>
  <c r="T128" i="3"/>
  <c r="U128" i="3" s="1"/>
  <c r="V128" i="3" s="1"/>
  <c r="T78" i="3"/>
  <c r="U78" i="3" s="1"/>
  <c r="V78" i="3" s="1"/>
  <c r="T171" i="3"/>
  <c r="U171" i="3" s="1"/>
  <c r="V171" i="3" s="1"/>
  <c r="T83" i="3"/>
  <c r="U83" i="3" s="1"/>
  <c r="V83" i="3" s="1"/>
  <c r="T132" i="3"/>
  <c r="U132" i="3" s="1"/>
  <c r="V132" i="3" s="1"/>
  <c r="T32" i="3"/>
  <c r="U32" i="3" s="1"/>
  <c r="V32" i="3" s="1"/>
  <c r="T157" i="3"/>
  <c r="U157" i="3" s="1"/>
  <c r="V157" i="3" s="1"/>
  <c r="T9" i="3"/>
  <c r="U9" i="3" s="1"/>
  <c r="V9" i="3" s="1"/>
  <c r="T158" i="3"/>
  <c r="U158" i="3" s="1"/>
  <c r="V158" i="3" s="1"/>
  <c r="T52" i="3"/>
  <c r="U52" i="3" s="1"/>
  <c r="V52" i="3" s="1"/>
  <c r="T55" i="3"/>
  <c r="U55" i="3" s="1"/>
  <c r="V55" i="3" s="1"/>
  <c r="T198" i="3"/>
  <c r="U198" i="3" s="1"/>
  <c r="V198" i="3" s="1"/>
  <c r="T200" i="3"/>
  <c r="U200" i="3" s="1"/>
  <c r="V200" i="3" s="1"/>
  <c r="T163" i="3"/>
  <c r="U163" i="3" s="1"/>
  <c r="V163" i="3" s="1"/>
  <c r="T64" i="3"/>
  <c r="U64" i="3" s="1"/>
  <c r="V64" i="3" s="1"/>
  <c r="T28" i="3"/>
  <c r="U28" i="3" s="1"/>
  <c r="V28" i="3" s="1"/>
  <c r="T141" i="3"/>
  <c r="U141" i="3" s="1"/>
  <c r="V141" i="3" s="1"/>
  <c r="T155" i="3"/>
  <c r="U155" i="3" s="1"/>
  <c r="V155" i="3" s="1"/>
  <c r="T115" i="3"/>
  <c r="U115" i="3" s="1"/>
  <c r="V115" i="3" s="1"/>
  <c r="T144" i="3"/>
  <c r="U144" i="3" s="1"/>
  <c r="V144" i="3" s="1"/>
  <c r="T190" i="3"/>
  <c r="U190" i="3" s="1"/>
  <c r="V190" i="3" s="1"/>
  <c r="T105" i="3"/>
  <c r="U105" i="3" s="1"/>
  <c r="V105" i="3" s="1"/>
  <c r="T126" i="3"/>
  <c r="U126" i="3" s="1"/>
  <c r="V126" i="3" s="1"/>
  <c r="T66" i="3"/>
  <c r="U66" i="3" s="1"/>
  <c r="V66" i="3" s="1"/>
  <c r="T70" i="3"/>
  <c r="U70" i="3" s="1"/>
  <c r="V70" i="3" s="1"/>
  <c r="T73" i="3"/>
  <c r="U73" i="3" s="1"/>
  <c r="V73" i="3" s="1"/>
  <c r="T117" i="3"/>
  <c r="U117" i="3" s="1"/>
  <c r="V117" i="3" s="1"/>
  <c r="T76" i="3"/>
  <c r="U76" i="3" s="1"/>
  <c r="V76" i="3" s="1"/>
  <c r="T39" i="3"/>
  <c r="U39" i="3" s="1"/>
  <c r="V39" i="3" s="1"/>
  <c r="T147" i="3"/>
  <c r="U147" i="3" s="1"/>
  <c r="V147" i="3" s="1"/>
  <c r="T80" i="3"/>
  <c r="U80" i="3" s="1"/>
  <c r="V80" i="3" s="1"/>
  <c r="T98" i="3"/>
  <c r="U98" i="3" s="1"/>
  <c r="V98" i="3" s="1"/>
  <c r="T113" i="3"/>
  <c r="U113" i="3" s="1"/>
  <c r="V113" i="3" s="1"/>
  <c r="T13" i="3"/>
  <c r="U13" i="3" s="1"/>
  <c r="V13" i="3" s="1"/>
  <c r="T54" i="3"/>
  <c r="U54" i="3" s="1"/>
  <c r="V54" i="3" s="1"/>
  <c r="T145" i="3"/>
  <c r="U145" i="3" s="1"/>
  <c r="V145" i="3" s="1"/>
  <c r="T196" i="3"/>
  <c r="U196" i="3" s="1"/>
  <c r="V196" i="3" s="1"/>
  <c r="T159" i="3"/>
  <c r="U159" i="3" s="1"/>
  <c r="V159" i="3" s="1"/>
  <c r="T97" i="3"/>
  <c r="U97" i="3" s="1"/>
  <c r="V97" i="3" s="1"/>
  <c r="T72" i="3"/>
  <c r="U72" i="3" s="1"/>
  <c r="V72" i="3" s="1"/>
  <c r="T77" i="3"/>
  <c r="U77" i="3" s="1"/>
  <c r="V77" i="3" s="1"/>
  <c r="T38" i="3"/>
  <c r="U38" i="3" s="1"/>
  <c r="V38" i="3" s="1"/>
  <c r="T130" i="3"/>
  <c r="U130" i="3" s="1"/>
  <c r="V130" i="3" s="1"/>
  <c r="T24" i="3"/>
  <c r="U24" i="3" s="1"/>
  <c r="V24" i="3" s="1"/>
  <c r="T69" i="3"/>
  <c r="U69" i="3" s="1"/>
  <c r="V69" i="3" s="1"/>
  <c r="T75" i="3"/>
  <c r="U75" i="3" s="1"/>
  <c r="V75" i="3" s="1"/>
  <c r="T191" i="3"/>
  <c r="U191" i="3" s="1"/>
  <c r="V191" i="3" s="1"/>
  <c r="T116" i="3"/>
  <c r="U116" i="3" s="1"/>
  <c r="V116" i="3" s="1"/>
  <c r="T195" i="3"/>
  <c r="U195" i="3" s="1"/>
  <c r="V195" i="3" s="1"/>
  <c r="T87" i="3"/>
  <c r="U87" i="3" s="1"/>
  <c r="V87" i="3" s="1"/>
  <c r="T7" i="3"/>
  <c r="U7" i="3" s="1"/>
  <c r="V7" i="3" s="1"/>
  <c r="T100" i="3"/>
  <c r="U100" i="3" s="1"/>
  <c r="V100" i="3" s="1"/>
  <c r="T82" i="3"/>
  <c r="U82" i="3" s="1"/>
  <c r="V82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Sneha Shimon Bankar</author>
  </authors>
  <commentList>
    <comment ref="J3" authorId="0" shapeId="0" xr:uid="{B65C1B5B-559F-495D-9D68-12534901520B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Rate to be 1400 till Oct'23 as requested by Em for rate constrant
</t>
        </r>
      </text>
    </comment>
    <comment ref="J46" authorId="0" shapeId="0" xr:uid="{57D70D22-1C88-4634-8A09-7A49E5B4B30E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rate to be 1700 as per smita mail+mandar's mail</t>
        </r>
      </text>
    </comment>
    <comment ref="J47" authorId="0" shapeId="0" xr:uid="{393B8519-4B2E-4DE2-827B-8B65C9A47A22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old rate 1700, rate changed from June'25 charge month</t>
        </r>
      </text>
    </comment>
    <comment ref="C53" authorId="0" shapeId="0" xr:uid="{65042143-F11B-4CCA-8C11-DDB8397F5A77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transferred to ISG from 1st Nov 2024</t>
        </r>
      </text>
    </comment>
    <comment ref="J90" authorId="0" shapeId="0" xr:uid="{27B4D303-1F20-4541-890B-F8E5C197F371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Rs.1400 Rate changed from Jan'24 charge month onwards.</t>
        </r>
      </text>
    </comment>
    <comment ref="C91" authorId="0" shapeId="0" xr:uid="{CF4E6472-2A1E-493A-AB73-AEABF4514167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resource moved/shifted  to ISG dept from 1st Feb 2025</t>
        </r>
      </text>
    </comment>
    <comment ref="J122" authorId="0" shapeId="0" xr:uid="{173146D7-68BB-4C33-BB96-12C7CF29A81B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to be started from 4th April 24</t>
        </r>
      </text>
    </comment>
    <comment ref="C126" authorId="0" shapeId="0" xr:uid="{909A6083-F809-4A1D-9699-19914867D46C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12 feb 2025</t>
        </r>
      </text>
    </comment>
    <comment ref="C154" authorId="0" shapeId="0" xr:uid="{C3DFCCA9-1F94-497D-AF6C-C8D05040604B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7th oct'24
</t>
        </r>
      </text>
    </comment>
    <comment ref="C160" authorId="0" shapeId="0" xr:uid="{0F93D743-6C6F-45E2-8D6F-B6496D519064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Transferred to ISG from 1st Nov 2024</t>
        </r>
      </text>
    </comment>
    <comment ref="C188" authorId="0" shapeId="0" xr:uid="{E0AB2E71-2475-4E8C-8B2C-FD9A804644F0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19th Feb 2025
</t>
        </r>
      </text>
    </comment>
    <comment ref="C189" authorId="0" shapeId="0" xr:uid="{D8827F2C-612A-40E6-A674-C36CF8BB1437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from 24th Feb 2025
</t>
        </r>
      </text>
    </comment>
    <comment ref="C195" authorId="0" shapeId="0" xr:uid="{F0ED9295-4955-4AE9-B5C0-57D1EAACFEC9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starts from 28th Feb'25</t>
        </r>
      </text>
    </comment>
    <comment ref="C197" authorId="0" shapeId="0" xr:uid="{C5786E44-9050-4BCF-83A1-32662536FBE4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24th Mar 2025
</t>
        </r>
      </text>
    </comment>
    <comment ref="C198" authorId="0" shapeId="0" xr:uid="{DC528573-90F8-4BC6-986D-4D5C98BC1598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27th May 2025 after Narshima exit
</t>
        </r>
      </text>
    </comment>
    <comment ref="C199" authorId="0" shapeId="0" xr:uid="{4428B3BF-851B-4524-AB0F-90A7673FFDFC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9th April 2025
</t>
        </r>
      </text>
    </comment>
    <comment ref="C200" authorId="0" shapeId="0" xr:uid="{CFAC7455-B15B-49FE-87EB-89F55BBD5AAE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8th April 2025
</t>
        </r>
      </text>
    </comment>
    <comment ref="C201" authorId="0" shapeId="0" xr:uid="{56148721-3C55-45E3-B681-EE912DCFAA4B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28th April 2025
</t>
        </r>
      </text>
    </comment>
    <comment ref="C205" authorId="0" shapeId="0" xr:uid="{199E02D6-D851-4121-A5F7-BA83BB948FC9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28th April 2025
</t>
        </r>
      </text>
    </comment>
    <comment ref="C208" authorId="0" shapeId="0" xr:uid="{3CEF20AE-54C3-46B1-8D0F-1D4410F9763C}">
      <text>
        <r>
          <rPr>
            <b/>
            <sz val="9"/>
            <color indexed="81"/>
            <rFont val="Tahoma"/>
            <family val="2"/>
          </rPr>
          <t>Sneha Shimon Bankar:</t>
        </r>
        <r>
          <rPr>
            <sz val="9"/>
            <color indexed="81"/>
            <rFont val="Tahoma"/>
            <family val="2"/>
          </rPr>
          <t xml:space="preserve">
Billing start date 30th April 2025</t>
        </r>
      </text>
    </comment>
  </commentList>
</comments>
</file>

<file path=xl/sharedStrings.xml><?xml version="1.0" encoding="utf-8"?>
<sst xmlns="http://schemas.openxmlformats.org/spreadsheetml/2006/main" count="5339" uniqueCount="606">
  <si>
    <t>Sr no</t>
  </si>
  <si>
    <t>YASH Emp ID</t>
  </si>
  <si>
    <t>Name</t>
  </si>
  <si>
    <t>Contingent/Contractor</t>
  </si>
  <si>
    <t>Status</t>
  </si>
  <si>
    <t>Domain</t>
  </si>
  <si>
    <t>Group Name</t>
  </si>
  <si>
    <t>Skill</t>
  </si>
  <si>
    <t>Sub Skill</t>
  </si>
  <si>
    <t>Biling Rate in INR</t>
  </si>
  <si>
    <t>Madhu Smitha Kola</t>
  </si>
  <si>
    <t>Contractor</t>
  </si>
  <si>
    <t>Active</t>
  </si>
  <si>
    <t>IT Finance</t>
  </si>
  <si>
    <t>SAP</t>
  </si>
  <si>
    <t>SAP FI</t>
  </si>
  <si>
    <t>Anoop Halder</t>
  </si>
  <si>
    <t>Contingent</t>
  </si>
  <si>
    <t>PDP</t>
  </si>
  <si>
    <t>Product Design PV&amp;V</t>
  </si>
  <si>
    <t>Testing</t>
  </si>
  <si>
    <t>QA</t>
  </si>
  <si>
    <t xml:space="preserve">Sreedhar Reddy Bonala </t>
  </si>
  <si>
    <t>PDC</t>
  </si>
  <si>
    <t>Parts Mordenization</t>
  </si>
  <si>
    <t>SAP CRM</t>
  </si>
  <si>
    <t>Atul Laxmanrao Vairale</t>
  </si>
  <si>
    <t>CPS</t>
  </si>
  <si>
    <t>CPS- Resolution and Information</t>
  </si>
  <si>
    <t>Fullstack</t>
  </si>
  <si>
    <t>JAVA</t>
  </si>
  <si>
    <t>Anwar Bashirahmad Kudle</t>
  </si>
  <si>
    <t>I&amp;O</t>
  </si>
  <si>
    <t>Platform Services/Cloud</t>
  </si>
  <si>
    <t>Mainframe</t>
  </si>
  <si>
    <t>DBA</t>
  </si>
  <si>
    <t>Vikram Karan Pingale</t>
  </si>
  <si>
    <t>ISG</t>
  </si>
  <si>
    <t>ISG - Digital, Shared Services</t>
  </si>
  <si>
    <t>Mahesh Anil Thokala</t>
  </si>
  <si>
    <t>CPS - Proactive Services</t>
  </si>
  <si>
    <t>Shailendrakumar Amarsing Vasave</t>
  </si>
  <si>
    <t>SQL Server DBA</t>
  </si>
  <si>
    <t>.NET</t>
  </si>
  <si>
    <t>Jyoti Singh</t>
  </si>
  <si>
    <t>Inactive</t>
  </si>
  <si>
    <t>ISG - Digital, Reprogramming and Activation</t>
  </si>
  <si>
    <t>Prachi Sanmesh Kale</t>
  </si>
  <si>
    <t>JAVA Cloud</t>
  </si>
  <si>
    <t>Harshal Ketan Patil</t>
  </si>
  <si>
    <t>Foundry</t>
  </si>
  <si>
    <t>Quality &amp; Reliability</t>
  </si>
  <si>
    <t>Vrushabh Abhaykumar Wakhariya</t>
  </si>
  <si>
    <t>Ecommerce</t>
  </si>
  <si>
    <t>Channel Systems &amp; Services</t>
  </si>
  <si>
    <t>Vivek Sumant Anaskar</t>
  </si>
  <si>
    <t>HCM</t>
  </si>
  <si>
    <t>HR and Corporate Functions</t>
  </si>
  <si>
    <t>Rohit Patel</t>
  </si>
  <si>
    <t>Venkata Manikanta Attili</t>
  </si>
  <si>
    <t>JDF</t>
  </si>
  <si>
    <t>JDF Region 1 Australia &amp; NZ</t>
  </si>
  <si>
    <t>Oracle</t>
  </si>
  <si>
    <t>Santhosh Ambali Kallesh</t>
  </si>
  <si>
    <t>Onkar Sudhir Kulkarni</t>
  </si>
  <si>
    <t>Vijaya Bhaskar Ganapa</t>
  </si>
  <si>
    <t>Uday Rajit Singh Panesar</t>
  </si>
  <si>
    <t>Parts Order management</t>
  </si>
  <si>
    <t>C#</t>
  </si>
  <si>
    <t>Ashish Kailas Beke</t>
  </si>
  <si>
    <t>Anas Fakir Mohammed Shaikh</t>
  </si>
  <si>
    <t>Oracle DBA</t>
  </si>
  <si>
    <t>Pavan Kumar Dasari</t>
  </si>
  <si>
    <t>CAP</t>
  </si>
  <si>
    <t>Marketing and Sales</t>
  </si>
  <si>
    <t>Team Site</t>
  </si>
  <si>
    <t>Veeraswamy Chitteti</t>
  </si>
  <si>
    <t>Java</t>
  </si>
  <si>
    <t>Titash Roy</t>
  </si>
  <si>
    <t>JDF-Dealer</t>
  </si>
  <si>
    <t>Bhushan Rameshrao Deoghare</t>
  </si>
  <si>
    <t>Virendra Patidar</t>
  </si>
  <si>
    <t>Saroj Das</t>
  </si>
  <si>
    <t>Avkash Mandloi</t>
  </si>
  <si>
    <t>UI/UX</t>
  </si>
  <si>
    <t>UI</t>
  </si>
  <si>
    <t>Shankar E</t>
  </si>
  <si>
    <t>Intstallsheild</t>
  </si>
  <si>
    <t>Yashas NY</t>
  </si>
  <si>
    <t>DB2DBA</t>
  </si>
  <si>
    <t>Sumana Bhaduri</t>
  </si>
  <si>
    <t>Pega</t>
  </si>
  <si>
    <t>Shriram Prakash Salunkhe</t>
  </si>
  <si>
    <t>Angular</t>
  </si>
  <si>
    <t>Pavankumar Gopal Patil</t>
  </si>
  <si>
    <t>Dealer Business Systems - Customer and Channel IT</t>
  </si>
  <si>
    <t>MS Dynamics</t>
  </si>
  <si>
    <t>CRM</t>
  </si>
  <si>
    <t>Pooja Solanki</t>
  </si>
  <si>
    <t>Resigned</t>
  </si>
  <si>
    <t>D&amp;A</t>
  </si>
  <si>
    <t>Data Products</t>
  </si>
  <si>
    <t>Dhirendra Kumar</t>
  </si>
  <si>
    <t>Rahul Daram</t>
  </si>
  <si>
    <t>JDF - Platform Services</t>
  </si>
  <si>
    <t xml:space="preserve">Mohammad Parvej Mansuri </t>
  </si>
  <si>
    <t>Rohit Khandelwal</t>
  </si>
  <si>
    <t>JavaScript</t>
  </si>
  <si>
    <t>Omkar Kulkarni</t>
  </si>
  <si>
    <t>Node Js</t>
  </si>
  <si>
    <t>Mukundgari Shivaji Rao</t>
  </si>
  <si>
    <t>Shraddha Jadhav</t>
  </si>
  <si>
    <t>Ayushi Jain</t>
  </si>
  <si>
    <t>Nirmal Kumar</t>
  </si>
  <si>
    <t xml:space="preserve">Parts Warehousing, Planning </t>
  </si>
  <si>
    <t>Shubham Pawar</t>
  </si>
  <si>
    <t>Shubhangi Walgude</t>
  </si>
  <si>
    <t>Vilas Deshmukh</t>
  </si>
  <si>
    <t>Sumit Kumar</t>
  </si>
  <si>
    <t>Sonal Sharma</t>
  </si>
  <si>
    <t>Gayathri Chagamreddy</t>
  </si>
  <si>
    <t>Tekesh Dhanraj Tembhare</t>
  </si>
  <si>
    <t>Ajit Raosaheb Bute</t>
  </si>
  <si>
    <t>Rishabh Yadav</t>
  </si>
  <si>
    <t>ISG - Digital,Ops CTR.Mobile</t>
  </si>
  <si>
    <t>Automation Testing</t>
  </si>
  <si>
    <t>Mithun Jayswal</t>
  </si>
  <si>
    <t>Kovvuru Chandra Mouliswar Reddy</t>
  </si>
  <si>
    <t>Aniket Verma</t>
  </si>
  <si>
    <t>Pooja Talekar</t>
  </si>
  <si>
    <t>DATA</t>
  </si>
  <si>
    <t>Python</t>
  </si>
  <si>
    <t>Akshay Ajay Upalekar</t>
  </si>
  <si>
    <t>SAP EWM</t>
  </si>
  <si>
    <t>Ajay Kumar Sandana</t>
  </si>
  <si>
    <t xml:space="preserve">Kanha Shivam Mishra </t>
  </si>
  <si>
    <t>Cobol</t>
  </si>
  <si>
    <t>Shaily Rai</t>
  </si>
  <si>
    <t>OM</t>
  </si>
  <si>
    <t>JDPS Marketing</t>
  </si>
  <si>
    <t>Tangella Yaswant Sai Kalyan</t>
  </si>
  <si>
    <t>Nitesh Mandloi</t>
  </si>
  <si>
    <t>Java+ AWS</t>
  </si>
  <si>
    <t>Shubham Deshpande</t>
  </si>
  <si>
    <t>Java+React</t>
  </si>
  <si>
    <t>Pravin Deshpande</t>
  </si>
  <si>
    <t>CPSS</t>
  </si>
  <si>
    <t>CPSS, R1/R2 publishing</t>
  </si>
  <si>
    <t>Content Writing</t>
  </si>
  <si>
    <t>Aarti Shete</t>
  </si>
  <si>
    <t>Dnyaneshwar Jaybhay</t>
  </si>
  <si>
    <t>Ankita Raut</t>
  </si>
  <si>
    <t>Java+AWS</t>
  </si>
  <si>
    <t>Jeet Patidar</t>
  </si>
  <si>
    <t>Vishal Padol</t>
  </si>
  <si>
    <t>Nikunj Gurjar</t>
  </si>
  <si>
    <t>React JS</t>
  </si>
  <si>
    <t>Pravin Reddy Anumula</t>
  </si>
  <si>
    <t>Java + Aws</t>
  </si>
  <si>
    <t>Sathi Manikanta Ramareddy</t>
  </si>
  <si>
    <t>SAP BODS</t>
  </si>
  <si>
    <t>Sreedevi Varahala</t>
  </si>
  <si>
    <t>Pratik Venkatesh Kurbet</t>
  </si>
  <si>
    <t>Nayan Pimpare</t>
  </si>
  <si>
    <t>Project</t>
  </si>
  <si>
    <t>MSP</t>
  </si>
  <si>
    <t>Manufacturing Engineering</t>
  </si>
  <si>
    <t xml:space="preserve">UI </t>
  </si>
  <si>
    <t>Fixed Bid</t>
  </si>
  <si>
    <t xml:space="preserve">Shaaleen Mohammad Afsar Syed Hussain </t>
  </si>
  <si>
    <t>Aadesh Mishra</t>
  </si>
  <si>
    <t>Product Data Management</t>
  </si>
  <si>
    <t>Sai Krishna Doodla</t>
  </si>
  <si>
    <t>Akash Jadhav</t>
  </si>
  <si>
    <t>Yanamadala Sasidhar</t>
  </si>
  <si>
    <t>Vatsal Shah Dharmendra</t>
  </si>
  <si>
    <t>Embedded C++</t>
  </si>
  <si>
    <t>Venkataraman J</t>
  </si>
  <si>
    <t>Product Data management</t>
  </si>
  <si>
    <t>Sushant Temkar</t>
  </si>
  <si>
    <t>Mahima Shrivastav</t>
  </si>
  <si>
    <t>Core Java</t>
  </si>
  <si>
    <t>Shubham Patil</t>
  </si>
  <si>
    <t>DevOps Operations</t>
  </si>
  <si>
    <t>Mayur Sontale</t>
  </si>
  <si>
    <t>Java Aws</t>
  </si>
  <si>
    <t>Bhaskar Yellamanchili</t>
  </si>
  <si>
    <t>SAP HR</t>
  </si>
  <si>
    <t>Aman Kumar 1</t>
  </si>
  <si>
    <t>JAVA+React</t>
  </si>
  <si>
    <t>Jeshwant Kumar Kolan</t>
  </si>
  <si>
    <t>SAP ABAP</t>
  </si>
  <si>
    <t>Priyanshi Zamindar</t>
  </si>
  <si>
    <t>ETEC</t>
  </si>
  <si>
    <t>Ramdas Buttanwad</t>
  </si>
  <si>
    <t>ISG - Digital</t>
  </si>
  <si>
    <t>Java Script</t>
  </si>
  <si>
    <t>Shubhangi Kamble</t>
  </si>
  <si>
    <t>Manish Madhukar Yadav</t>
  </si>
  <si>
    <t>Data Engenniering</t>
  </si>
  <si>
    <t>Balineni Kiran Kumar Reddy</t>
  </si>
  <si>
    <t>Swati Patil</t>
  </si>
  <si>
    <t>Sravani Ananthapalli</t>
  </si>
  <si>
    <t>Sowjanya Parthasarathi</t>
  </si>
  <si>
    <t>SAP PI/PO</t>
  </si>
  <si>
    <t>Rahul Mhakave</t>
  </si>
  <si>
    <t>Data engineering</t>
  </si>
  <si>
    <t>Akash Bhutwani</t>
  </si>
  <si>
    <t>Vishal Sarathe</t>
  </si>
  <si>
    <t>Nagam Rammohan Rao</t>
  </si>
  <si>
    <t>Ravi Kumar</t>
  </si>
  <si>
    <t>Akash Sahebrao Kadhane</t>
  </si>
  <si>
    <t>Vikram Vinayak Kurade</t>
  </si>
  <si>
    <t>Bhavika Patil</t>
  </si>
  <si>
    <t>Parikshit Abhimanyu Nemane</t>
  </si>
  <si>
    <t>Manoj Kumbhkar</t>
  </si>
  <si>
    <t>Shubham Jaiswal</t>
  </si>
  <si>
    <t>Omkar Vaibhav Shinde</t>
  </si>
  <si>
    <t>Mobility</t>
  </si>
  <si>
    <t>Android</t>
  </si>
  <si>
    <t>Kanchan Mugalwar</t>
  </si>
  <si>
    <t>Data Engenering</t>
  </si>
  <si>
    <t>Sneha Damkondwar</t>
  </si>
  <si>
    <t>Java +React</t>
  </si>
  <si>
    <t>Shardullya Vikram Singh</t>
  </si>
  <si>
    <t>Ashwini Jagannath Lohar</t>
  </si>
  <si>
    <t>Java 8, Spring Boot, AWS, Angular</t>
  </si>
  <si>
    <t>Keerthana Kumaravel</t>
  </si>
  <si>
    <t xml:space="preserve">Bojja Prabhanjan Reddy </t>
  </si>
  <si>
    <t>Manoj Kumar</t>
  </si>
  <si>
    <t xml:space="preserve">Deepa Patil </t>
  </si>
  <si>
    <t>Java React JS</t>
  </si>
  <si>
    <t>Shekhar Jha</t>
  </si>
  <si>
    <t>Abhishek Premsing Jadhav</t>
  </si>
  <si>
    <t>Microsoft Dynamics</t>
  </si>
  <si>
    <t>Manuja Kshirsagar</t>
  </si>
  <si>
    <t>Scrum Master</t>
  </si>
  <si>
    <t>Shradha Agnibhoj</t>
  </si>
  <si>
    <t>AWS + Node+ React</t>
  </si>
  <si>
    <t>Monika Patil</t>
  </si>
  <si>
    <t>DevOps</t>
  </si>
  <si>
    <t>Ruchi Sarawagi</t>
  </si>
  <si>
    <t>Shubham Giri</t>
  </si>
  <si>
    <t>Kaushiki Tapadiya</t>
  </si>
  <si>
    <t>Praveen Bhende</t>
  </si>
  <si>
    <t>Gaurav Patil</t>
  </si>
  <si>
    <t>Altova</t>
  </si>
  <si>
    <t>Java + Altova</t>
  </si>
  <si>
    <t>Ankita Rathi</t>
  </si>
  <si>
    <t>Pooja Ambawle</t>
  </si>
  <si>
    <t>Shefali Goyal</t>
  </si>
  <si>
    <t>Arun Kumar</t>
  </si>
  <si>
    <t>Priti Naik</t>
  </si>
  <si>
    <t>Service Now</t>
  </si>
  <si>
    <t>Manisha Velivela</t>
  </si>
  <si>
    <t>Pushpak Bhambar</t>
  </si>
  <si>
    <t>Yatish K</t>
  </si>
  <si>
    <t>Ankita Chaudhary</t>
  </si>
  <si>
    <t>Rohit Bajaj</t>
  </si>
  <si>
    <t>ADVANCE ENGINEERING COMPETENCIES, Staff engineering user experience</t>
  </si>
  <si>
    <t>Shambhawi Shrivastva</t>
  </si>
  <si>
    <t>Quality Operation</t>
  </si>
  <si>
    <t>Power Apps</t>
  </si>
  <si>
    <t>Boppa Nischala</t>
  </si>
  <si>
    <t>Prabhat Shukla</t>
  </si>
  <si>
    <t>Aditya Korade</t>
  </si>
  <si>
    <t>Shweta Dilip Dokhe</t>
  </si>
  <si>
    <t>Pradeep Kale</t>
  </si>
  <si>
    <t>Krishna Yadav</t>
  </si>
  <si>
    <t>Amir Sohel</t>
  </si>
  <si>
    <t>Avinash Singh</t>
  </si>
  <si>
    <t>Ajeet Gupta</t>
  </si>
  <si>
    <t>Markting and Sales</t>
  </si>
  <si>
    <t>Prashant Dubey</t>
  </si>
  <si>
    <t>Anuja Ajab</t>
  </si>
  <si>
    <t>Kalpana Jadhav</t>
  </si>
  <si>
    <t>Harshal Patil</t>
  </si>
  <si>
    <t>Infomatica</t>
  </si>
  <si>
    <t>Edde Rajasekhar Reddy</t>
  </si>
  <si>
    <t>Aman Mishra</t>
  </si>
  <si>
    <t>React</t>
  </si>
  <si>
    <t>Kshitiz Kothari</t>
  </si>
  <si>
    <t>Python and DataBricks</t>
  </si>
  <si>
    <t>Rajini Duggirala</t>
  </si>
  <si>
    <t>Nishant Kamble</t>
  </si>
  <si>
    <t>Himanshu Chowhan</t>
  </si>
  <si>
    <t>Nikhil Agrawal</t>
  </si>
  <si>
    <t>Akshay Ramteke</t>
  </si>
  <si>
    <t>Dipali Bhoyar</t>
  </si>
  <si>
    <t>Durga Prasad J</t>
  </si>
  <si>
    <t>Nisha S</t>
  </si>
  <si>
    <t>Mullamuri Bhargavi</t>
  </si>
  <si>
    <t>Jai Kumar Gadoeya</t>
  </si>
  <si>
    <t>Deepti Gupta</t>
  </si>
  <si>
    <t>Deependra Choudhary</t>
  </si>
  <si>
    <t>Pranesh Subhash Nanoskar</t>
  </si>
  <si>
    <t>react/node js + Java.  </t>
  </si>
  <si>
    <t>Prabin Kumar Baitharu</t>
  </si>
  <si>
    <t>Amanaganti Vamshi Reddy</t>
  </si>
  <si>
    <t>Sarika Kate</t>
  </si>
  <si>
    <t>Prem Sharma</t>
  </si>
  <si>
    <t>Upasna C</t>
  </si>
  <si>
    <t>Java + React+AWS</t>
  </si>
  <si>
    <t>Shantanu Mithilesh Moraskar</t>
  </si>
  <si>
    <t>Kalyani Shiromani Meshram</t>
  </si>
  <si>
    <t>Akshay Mahadev Ovhal</t>
  </si>
  <si>
    <t>informatica</t>
  </si>
  <si>
    <t>Snehal Bhimrao Tapare</t>
  </si>
  <si>
    <t>Anvitha Maindan</t>
  </si>
  <si>
    <t>R1OF</t>
  </si>
  <si>
    <t>RPA</t>
  </si>
  <si>
    <t>Govind Kurmi</t>
  </si>
  <si>
    <t>Java Spring Boot</t>
  </si>
  <si>
    <t>Nikhil Burande</t>
  </si>
  <si>
    <t>Power Bi</t>
  </si>
  <si>
    <t>Arati Junghare</t>
  </si>
  <si>
    <t>pyth +aws</t>
  </si>
  <si>
    <t>Ashwini Kishor Kasar</t>
  </si>
  <si>
    <t>Mayuri Mundada</t>
  </si>
  <si>
    <t>Ajinkya Mane</t>
  </si>
  <si>
    <t>Ashish Shastri</t>
  </si>
  <si>
    <t>Power BI</t>
  </si>
  <si>
    <t>Nikhil Wattamwar</t>
  </si>
  <si>
    <t>Devendra Hirulkar</t>
  </si>
  <si>
    <t>Aman Kumar 2</t>
  </si>
  <si>
    <t>Varun Mehta</t>
  </si>
  <si>
    <t>Shubham Gajare</t>
  </si>
  <si>
    <t>Priyanshu Chouhan</t>
  </si>
  <si>
    <t>Harika Sudarshanrao</t>
  </si>
  <si>
    <t>Ayushi Khare</t>
  </si>
  <si>
    <t>Ayush Sharma</t>
  </si>
  <si>
    <t>Subhojeet Santra</t>
  </si>
  <si>
    <t>Jashuva Nanagari</t>
  </si>
  <si>
    <t>Shivam Kayarkar</t>
  </si>
  <si>
    <t xml:space="preserve">Shivashankar Mallappa Nagur </t>
  </si>
  <si>
    <t>Manufacturing Operations</t>
  </si>
  <si>
    <t>Sachin Jadhav</t>
  </si>
  <si>
    <t>Rahul Pawar</t>
  </si>
  <si>
    <t>Aniket Krushnat Gaikwad</t>
  </si>
  <si>
    <t>Anivesh Nishad</t>
  </si>
  <si>
    <t>Python +AWS</t>
  </si>
  <si>
    <t>Prasad Kadu</t>
  </si>
  <si>
    <t>Tisha Haria</t>
  </si>
  <si>
    <t>Sadanand Bhosale</t>
  </si>
  <si>
    <t>Anshul Harniya</t>
  </si>
  <si>
    <t>Vishal Pandit</t>
  </si>
  <si>
    <t>Sonali Koli</t>
  </si>
  <si>
    <t>Lakshya Sharma</t>
  </si>
  <si>
    <t>Vikas Tank</t>
  </si>
  <si>
    <t>Sradha Suman Dash</t>
  </si>
  <si>
    <t>Abhishek Rai</t>
  </si>
  <si>
    <t>Pankaj Kumar</t>
  </si>
  <si>
    <t>Sneha Balaram Yadav</t>
  </si>
  <si>
    <t>Naga Jyoti</t>
  </si>
  <si>
    <t>Kedar Shiral</t>
  </si>
  <si>
    <t>Pratiksha Gore</t>
  </si>
  <si>
    <t>Ganesh Kumar</t>
  </si>
  <si>
    <t>Tushar Shitre</t>
  </si>
  <si>
    <t>yet to join</t>
  </si>
  <si>
    <t xml:space="preserve">Laxmikant Vitthalrao Kale </t>
  </si>
  <si>
    <t>Employee ID</t>
  </si>
  <si>
    <t>Employee Name</t>
  </si>
  <si>
    <t>Employee Status</t>
  </si>
  <si>
    <t>IRM</t>
  </si>
  <si>
    <t>Competency</t>
  </si>
  <si>
    <t>Sub Allocation Type</t>
  </si>
  <si>
    <t>Hourly Bill Rates</t>
  </si>
  <si>
    <t>Conversion Factor</t>
  </si>
  <si>
    <t>Run Rate (Monthly)</t>
  </si>
  <si>
    <t>CTC</t>
  </si>
  <si>
    <t>OH</t>
  </si>
  <si>
    <t>CTC(U)</t>
  </si>
  <si>
    <t>OH(U)</t>
  </si>
  <si>
    <t>Emp Cost</t>
  </si>
  <si>
    <t>Profit</t>
  </si>
  <si>
    <t>Profit%</t>
  </si>
  <si>
    <t>Project Name</t>
  </si>
  <si>
    <t>Project Manager</t>
  </si>
  <si>
    <t>Delivery Manager</t>
  </si>
  <si>
    <t>Project BUHSSUH</t>
  </si>
  <si>
    <t>Project BGHSSGH</t>
  </si>
  <si>
    <t>Project BG</t>
  </si>
  <si>
    <t>Project BU</t>
  </si>
  <si>
    <t>Project Hour Day</t>
  </si>
  <si>
    <t>Project Currency</t>
  </si>
  <si>
    <t>Rajesh Radhakrishnan Nair</t>
  </si>
  <si>
    <t>Microsoft</t>
  </si>
  <si>
    <t>Billable</t>
  </si>
  <si>
    <t>JD-TCI-BG4-BU4-CAP</t>
  </si>
  <si>
    <t>Seshakishore Kumar Kollipara</t>
  </si>
  <si>
    <t>Shailendra Gupta</t>
  </si>
  <si>
    <t>Arun Kumar Mishra</t>
  </si>
  <si>
    <t>BG4</t>
  </si>
  <si>
    <t>BG4-BU4</t>
  </si>
  <si>
    <t>INR</t>
  </si>
  <si>
    <t>Shivam Gopal Kayarkar</t>
  </si>
  <si>
    <t>Nilesh W Bansodkar</t>
  </si>
  <si>
    <t>ServiceNow</t>
  </si>
  <si>
    <t>JD-TCI-BG4-BU4-I&amp;O</t>
  </si>
  <si>
    <t>Prasad Pralhad Kadu</t>
  </si>
  <si>
    <t>JD-TCI-BG4-BU4-CPS</t>
  </si>
  <si>
    <t>Pankaj Kumar Singh</t>
  </si>
  <si>
    <t>JD-TCI-BG4-BU4-Ecommerce</t>
  </si>
  <si>
    <t>JD-TCI-BG4-BU4-D&amp;A</t>
  </si>
  <si>
    <t>Mayuri Nandkishorji Mundada</t>
  </si>
  <si>
    <t>Shubham Kishor Gajare</t>
  </si>
  <si>
    <t>JD-TCI-BG4-BU4-PDP</t>
  </si>
  <si>
    <t>Praveen Ravi Bhende</t>
  </si>
  <si>
    <t>Manish Gupta</t>
  </si>
  <si>
    <t>Aman Kumar</t>
  </si>
  <si>
    <t>Pravin Arvind Deshpande</t>
  </si>
  <si>
    <t>Content Management System (CMS)</t>
  </si>
  <si>
    <t>JD-TCI-BG4-BU4-CPSS</t>
  </si>
  <si>
    <t>AWS - App Dev</t>
  </si>
  <si>
    <t>JD-TCI-BG4-BU4-JDF</t>
  </si>
  <si>
    <t>Jeet Kumar Patidar</t>
  </si>
  <si>
    <t>Ajinkya Sharad Mane</t>
  </si>
  <si>
    <t>User Interface (UI)</t>
  </si>
  <si>
    <t>Data &amp; Analytics</t>
  </si>
  <si>
    <t>Shubham Sharadchand Patil</t>
  </si>
  <si>
    <t>Shekhar Kumar Jha</t>
  </si>
  <si>
    <t>Prem Gajanan Sharma</t>
  </si>
  <si>
    <t>JD-TCI-BG4-BU4-PDC</t>
  </si>
  <si>
    <t>Kale Laxmikant Vitthalrao</t>
  </si>
  <si>
    <t>Avinash Kumar Singh</t>
  </si>
  <si>
    <t>Ankita Ajay Chaudhari</t>
  </si>
  <si>
    <t>Sonali Vasudeo Koli</t>
  </si>
  <si>
    <t>Sadanand Jotiram Bhosale</t>
  </si>
  <si>
    <t>Kanchan Mallayya Mugalwar</t>
  </si>
  <si>
    <t>Shubham Sanjay Deshpande</t>
  </si>
  <si>
    <t>Mohammad Parvej Mansuri</t>
  </si>
  <si>
    <t>Pushpak Satish Bhambar</t>
  </si>
  <si>
    <t>JD-TCI-BG4-BU4-MSP</t>
  </si>
  <si>
    <t>Sachin Vijay Jadhav</t>
  </si>
  <si>
    <t>Rahul Vilas Pawar</t>
  </si>
  <si>
    <t>Aarti Rupchand Shete</t>
  </si>
  <si>
    <t>JD-TCI-BG4-BU4-OM</t>
  </si>
  <si>
    <t>Jalasutram Durga Prasad</t>
  </si>
  <si>
    <t>Mahima Shrivastava</t>
  </si>
  <si>
    <t>JD-TCI-BG4-BU4-Foundry</t>
  </si>
  <si>
    <t>Ajfar Aziz</t>
  </si>
  <si>
    <t>JD-TCI-BG4-BU4-ISG</t>
  </si>
  <si>
    <t>Dnyaneshwar Dhansing Jaybhay</t>
  </si>
  <si>
    <t>Rohit Gopal Bajaj</t>
  </si>
  <si>
    <t>JD-TCI-BG4-BU4-ETEC</t>
  </si>
  <si>
    <t>Doodala Sai Krishna</t>
  </si>
  <si>
    <t>K. Yathish</t>
  </si>
  <si>
    <t>Aditya Balasaheb Korade</t>
  </si>
  <si>
    <t>Nikhilkumar Narayanrao Wattamwar</t>
  </si>
  <si>
    <t>Vishal Ashok Pandit</t>
  </si>
  <si>
    <t>Gaurav Dinkar Patil</t>
  </si>
  <si>
    <t>JD-TCI-BG4-BU4-IT Finance</t>
  </si>
  <si>
    <t>Ashish Prakash Shastri</t>
  </si>
  <si>
    <t>Pooja Ashok Ambawle</t>
  </si>
  <si>
    <t>Kaushiki Avinash Tapadiya</t>
  </si>
  <si>
    <t>Upasna .</t>
  </si>
  <si>
    <t>Shantanu Mithilesh Moraskr</t>
  </si>
  <si>
    <t>Tangella Yaswanth Sai Kalyan</t>
  </si>
  <si>
    <t>Rishabh Singh Yadav</t>
  </si>
  <si>
    <t>Sandana Ajay Kumar</t>
  </si>
  <si>
    <t>Akash Mahadev Jadhav</t>
  </si>
  <si>
    <t>Anuja Jalindar Ajab</t>
  </si>
  <si>
    <t>Shubhangi Tushar Walgude</t>
  </si>
  <si>
    <t>Ankita Santosh Raut</t>
  </si>
  <si>
    <t>Anoop Mehra</t>
  </si>
  <si>
    <t>Kalpana Bharat Jadhav</t>
  </si>
  <si>
    <t>Deepa Basavaraj Patil</t>
  </si>
  <si>
    <t>Monika Manoj Patil</t>
  </si>
  <si>
    <t>Burande Nikhil Vikas</t>
  </si>
  <si>
    <t>Ramdas Tulshiram Buttanwad</t>
  </si>
  <si>
    <t>Node.js</t>
  </si>
  <si>
    <t>Sankar Erupuru</t>
  </si>
  <si>
    <t>Omkar Shahu Kulkarni</t>
  </si>
  <si>
    <t>Sarika Gautam Kate</t>
  </si>
  <si>
    <t>Shraddha Sandip Jadhav</t>
  </si>
  <si>
    <t>Shubham Babanrao Giri</t>
  </si>
  <si>
    <t>Prashanth Kumar Dubey</t>
  </si>
  <si>
    <t>Vilas Vitthalrao Deshmukh</t>
  </si>
  <si>
    <t>Kanha Shivam Mishra</t>
  </si>
  <si>
    <t>Sneha Laxmikant Damkondwar</t>
  </si>
  <si>
    <t>Vishal Rajendra Padol</t>
  </si>
  <si>
    <t>Solanki Pooja</t>
  </si>
  <si>
    <t>Anvitha Sundar Maindan</t>
  </si>
  <si>
    <t>JD-TCI-BG4-BU4-R1OF</t>
  </si>
  <si>
    <t>Rahul Manohar Mhakave</t>
  </si>
  <si>
    <t>Shubham Anil Pawar</t>
  </si>
  <si>
    <t>Core-Infra</t>
  </si>
  <si>
    <t>Mayur Shivaji Sontale</t>
  </si>
  <si>
    <t>Deependra Chaudhari</t>
  </si>
  <si>
    <t>Akshay Mangal Ramteke</t>
  </si>
  <si>
    <t>Shah Vatsal Dharmendra</t>
  </si>
  <si>
    <t>EmbeddedSystem_FA_IoT</t>
  </si>
  <si>
    <t>Priti Subhash Naik</t>
  </si>
  <si>
    <t>Nishant Ramchandra Kamble</t>
  </si>
  <si>
    <t>Devendra Kishor Hirulkar</t>
  </si>
  <si>
    <t>Praveen Reddy Anumula</t>
  </si>
  <si>
    <t>Harshal Ganesh Patil</t>
  </si>
  <si>
    <t>Prabhat Chandra Shukla</t>
  </si>
  <si>
    <t>Data Science &amp; AI</t>
  </si>
  <si>
    <t>Yashas N Y</t>
  </si>
  <si>
    <t>Ajeet Kumar Gupta</t>
  </si>
  <si>
    <t>Manuja Ashok Kshirsagar</t>
  </si>
  <si>
    <t>Agile Consulting</t>
  </si>
  <si>
    <t>Virendra .</t>
  </si>
  <si>
    <t>Employee Type</t>
  </si>
  <si>
    <t>Designation</t>
  </si>
  <si>
    <t>Parent BG</t>
  </si>
  <si>
    <t>Parent BU</t>
  </si>
  <si>
    <t>Allocation Type</t>
  </si>
  <si>
    <t>Allocation %</t>
  </si>
  <si>
    <t>Contractual</t>
  </si>
  <si>
    <t>BG5</t>
  </si>
  <si>
    <t>BG5-BU11</t>
  </si>
  <si>
    <t>Permanent</t>
  </si>
  <si>
    <t>Consultant</t>
  </si>
  <si>
    <t>BG5-BU15</t>
  </si>
  <si>
    <t>Sr. Software Engineer</t>
  </si>
  <si>
    <t>Software Engineer</t>
  </si>
  <si>
    <t>Sr. DevOps Engineer</t>
  </si>
  <si>
    <t>BG5-BU9</t>
  </si>
  <si>
    <t>UI Specialist</t>
  </si>
  <si>
    <t>BG5-BU1</t>
  </si>
  <si>
    <t>BG5-BU12</t>
  </si>
  <si>
    <t>Associate Consultant</t>
  </si>
  <si>
    <t>Test Engineer</t>
  </si>
  <si>
    <t>Sr. Consultant</t>
  </si>
  <si>
    <t>BG4-BU2</t>
  </si>
  <si>
    <t>Test Lead</t>
  </si>
  <si>
    <t>Sr. Test Engineer</t>
  </si>
  <si>
    <t>Module Lead</t>
  </si>
  <si>
    <t>UI Lead</t>
  </si>
  <si>
    <t>Sr. Tech Lead</t>
  </si>
  <si>
    <t>Tech Lead</t>
  </si>
  <si>
    <t>BG5-BU6</t>
  </si>
  <si>
    <t>BG5-BU10</t>
  </si>
  <si>
    <t>Sr. Data Scientist</t>
  </si>
  <si>
    <t>BG5-BU14</t>
  </si>
  <si>
    <t>Associate Technical Architect</t>
  </si>
  <si>
    <t>Yash Emp ID</t>
  </si>
  <si>
    <t>Grade</t>
  </si>
  <si>
    <t xml:space="preserve">Client </t>
  </si>
  <si>
    <t>IRM Name</t>
  </si>
  <si>
    <t>SRM Name</t>
  </si>
  <si>
    <t>Client Manager</t>
  </si>
  <si>
    <t>Billing Rate</t>
  </si>
  <si>
    <t xml:space="preserve">%Profit </t>
  </si>
  <si>
    <t>Madhu Smitha</t>
  </si>
  <si>
    <t>E5</t>
  </si>
  <si>
    <t>JohnDeere</t>
  </si>
  <si>
    <t>TCI Staffing</t>
  </si>
  <si>
    <t>SAP FICO</t>
  </si>
  <si>
    <t>Srivijaya Pichika</t>
  </si>
  <si>
    <t>Dipesh Parekh</t>
  </si>
  <si>
    <t>Vivek Anaskar</t>
  </si>
  <si>
    <t>E2</t>
  </si>
  <si>
    <t>SAP HCM</t>
  </si>
  <si>
    <t>Nishanta Devadiga</t>
  </si>
  <si>
    <t>Suresh Manthathi</t>
  </si>
  <si>
    <t>HR</t>
  </si>
  <si>
    <t>Akshay Upalekar</t>
  </si>
  <si>
    <t>C</t>
  </si>
  <si>
    <t>Venkata Anil Krishna Poluri</t>
  </si>
  <si>
    <t>B Sreedhar Reddy</t>
  </si>
  <si>
    <t>E6</t>
  </si>
  <si>
    <t>Sreedhar Nimmagadda</t>
  </si>
  <si>
    <t>Kovvuru Chandra Reddy</t>
  </si>
  <si>
    <t>E1</t>
  </si>
  <si>
    <t>Pranjali Patil</t>
  </si>
  <si>
    <t>Vijaya Ganapa</t>
  </si>
  <si>
    <t>SAP SuccessFactors</t>
  </si>
  <si>
    <t>Sharath Panaggamula</t>
  </si>
  <si>
    <t>System Interoperability</t>
  </si>
  <si>
    <t>SAP PI/CPI</t>
  </si>
  <si>
    <t>Abir Sarkar</t>
  </si>
  <si>
    <t>Mahesh Jayaraman</t>
  </si>
  <si>
    <t>Narasimha Reddy Kanubuddi</t>
  </si>
  <si>
    <t>SAP ABAP HANA</t>
  </si>
  <si>
    <t>Atul Kudegave</t>
  </si>
  <si>
    <t>SAP ABAP CRM</t>
  </si>
  <si>
    <t>Afsar Mohammad</t>
  </si>
  <si>
    <t xml:space="preserve">Jeshwant Kolan </t>
  </si>
  <si>
    <t>Shital Kupwade</t>
  </si>
  <si>
    <t>E3</t>
  </si>
  <si>
    <t>Felipe Engleman</t>
  </si>
  <si>
    <t>Amit Koul</t>
  </si>
  <si>
    <t>Sravani A</t>
  </si>
  <si>
    <t>B Kiran Kumar</t>
  </si>
  <si>
    <t xml:space="preserve">Nagam Rammohan </t>
  </si>
  <si>
    <t>G Ravi Prasanna</t>
  </si>
  <si>
    <t xml:space="preserve">Bojja Prabhanjan </t>
  </si>
  <si>
    <t>Keerthana K</t>
  </si>
  <si>
    <t xml:space="preserve">Manisha Velivela </t>
  </si>
  <si>
    <t>Nischala Boppa</t>
  </si>
  <si>
    <t>Nisha </t>
  </si>
  <si>
    <t>Harika Meka</t>
  </si>
  <si>
    <t>Akshay Shaha</t>
  </si>
  <si>
    <t>Shefali</t>
  </si>
  <si>
    <t>Nanagari Jashuva</t>
  </si>
  <si>
    <t>Pankaj Naik</t>
  </si>
  <si>
    <t>Shivashankar Mallappa Nagur</t>
  </si>
  <si>
    <t xml:space="preserve">Naga Jyothi Maddali </t>
  </si>
  <si>
    <t>Group</t>
  </si>
  <si>
    <t>Row Labels</t>
  </si>
  <si>
    <t>Grand Total</t>
  </si>
  <si>
    <t>Sum of Profit%</t>
  </si>
  <si>
    <t>eCommerce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</si>
</sst>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_ [$₹-4009]\ * #,##0_ ;_ [$₹-4009]\ * \-#,##0_ ;_ [$₹-4009]\ * &quot;-&quot;??_ ;_ @_ "/>
    <numFmt numFmtId="166" formatCode="[$₹-4009]\ #,##0;[Red][$₹-4009]\ #,##0"/>
  </numFmts>
  <fonts count="20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Gadugi"/>
      <family val="2"/>
    </font>
    <font>
      <b/>
      <sz val="10"/>
      <color theme="1"/>
      <name val="Gadugi"/>
      <family val="2"/>
    </font>
    <font>
      <sz val="10"/>
      <name val="Gadugi"/>
      <family val="2"/>
    </font>
    <font>
      <sz val="10"/>
      <color theme="1"/>
      <name val="Gadugi"/>
      <family val="2"/>
    </font>
    <font>
      <sz val="10"/>
      <color rgb="FF000000"/>
      <name val="Gadugi"/>
      <family val="2"/>
    </font>
    <font>
      <sz val="10"/>
      <color rgb="FFFF0000"/>
      <name val="Gadugi"/>
      <family val="2"/>
    </font>
    <font>
      <sz val="10"/>
      <name val="Arial"/>
      <family val="2"/>
    </font>
    <font>
      <sz val="10"/>
      <color rgb="FF242424"/>
      <name val="Gadug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theme="1"/>
      <name val="Garamond"/>
      <family val="1"/>
    </font>
    <font>
      <sz val="9"/>
      <color theme="1"/>
      <name val="Garamond"/>
      <family val="1"/>
    </font>
    <font>
      <sz val="11"/>
      <color theme="1"/>
      <name val="Garamond"/>
      <family val="1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rgb="FFFDE9D9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/>
    <xf numFmtId="9" fontId="1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7" fillId="3" borderId="1" xfId="0" applyFont="1" applyFill="1" applyBorder="1"/>
    <xf numFmtId="0" fontId="5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2" applyFont="1" applyFill="1" applyBorder="1" applyAlignment="1">
      <alignment horizontal="left"/>
    </xf>
    <xf numFmtId="0" fontId="7" fillId="3" borderId="1" xfId="2" applyFont="1" applyFill="1" applyBorder="1" applyAlignment="1">
      <alignment horizontal="left"/>
    </xf>
    <xf numFmtId="0" fontId="5" fillId="3" borderId="1" xfId="2" applyFont="1" applyFill="1" applyBorder="1" applyAlignment="1">
      <alignment horizontal="left" wrapText="1"/>
    </xf>
    <xf numFmtId="0" fontId="10" fillId="3" borderId="1" xfId="0" applyFont="1" applyFill="1" applyBorder="1" applyAlignment="1">
      <alignment horizontal="left" vertical="center"/>
    </xf>
    <xf numFmtId="0" fontId="10" fillId="3" borderId="1" xfId="2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13" fillId="4" borderId="1" xfId="4" applyFont="1" applyFill="1" applyBorder="1" applyAlignment="1">
      <alignment horizontal="center" vertical="center"/>
    </xf>
    <xf numFmtId="10" fontId="13" fillId="4" borderId="1" xfId="4" applyNumberFormat="1" applyFont="1" applyFill="1" applyBorder="1" applyAlignment="1">
      <alignment horizontal="center" vertical="center"/>
    </xf>
    <xf numFmtId="0" fontId="1" fillId="0" borderId="0" xfId="4"/>
    <xf numFmtId="0" fontId="14" fillId="0" borderId="1" xfId="4" applyFont="1" applyBorder="1" applyAlignment="1">
      <alignment horizontal="center" vertical="center"/>
    </xf>
    <xf numFmtId="2" fontId="14" fillId="0" borderId="1" xfId="4" applyNumberFormat="1" applyFont="1" applyBorder="1" applyAlignment="1">
      <alignment horizontal="center" vertical="center"/>
    </xf>
    <xf numFmtId="164" fontId="14" fillId="5" borderId="1" xfId="4" applyNumberFormat="1" applyFont="1" applyFill="1" applyBorder="1" applyAlignment="1">
      <alignment horizontal="center" vertical="center"/>
    </xf>
    <xf numFmtId="165" fontId="14" fillId="5" borderId="1" xfId="4" applyNumberFormat="1" applyFont="1" applyFill="1" applyBorder="1" applyAlignment="1">
      <alignment horizontal="center" vertical="center"/>
    </xf>
    <xf numFmtId="10" fontId="14" fillId="5" borderId="1" xfId="4" applyNumberFormat="1" applyFont="1" applyFill="1" applyBorder="1" applyAlignment="1">
      <alignment horizontal="center" vertical="center"/>
    </xf>
    <xf numFmtId="165" fontId="15" fillId="5" borderId="1" xfId="4" applyNumberFormat="1" applyFont="1" applyFill="1" applyBorder="1"/>
    <xf numFmtId="10" fontId="1" fillId="0" borderId="0" xfId="4" applyNumberFormat="1"/>
    <xf numFmtId="0" fontId="18" fillId="6" borderId="1" xfId="2" applyFont="1" applyFill="1" applyBorder="1" applyAlignment="1">
      <alignment horizontal="center"/>
    </xf>
    <xf numFmtId="0" fontId="19" fillId="7" borderId="1" xfId="4" applyFont="1" applyFill="1" applyBorder="1" applyAlignment="1">
      <alignment horizontal="right" vertical="top" readingOrder="1"/>
    </xf>
    <xf numFmtId="0" fontId="19" fillId="7" borderId="1" xfId="4" applyFont="1" applyFill="1" applyBorder="1" applyAlignment="1">
      <alignment vertical="top" readingOrder="1"/>
    </xf>
    <xf numFmtId="0" fontId="1" fillId="0" borderId="1" xfId="4" applyBorder="1"/>
    <xf numFmtId="0" fontId="19" fillId="7" borderId="3" xfId="4" applyFont="1" applyFill="1" applyBorder="1" applyAlignment="1">
      <alignment vertical="top" readingOrder="1"/>
    </xf>
    <xf numFmtId="0" fontId="19" fillId="7" borderId="4" xfId="4" applyFont="1" applyFill="1" applyBorder="1" applyAlignment="1">
      <alignment vertical="top" readingOrder="1"/>
    </xf>
    <xf numFmtId="166" fontId="1" fillId="0" borderId="1" xfId="4" applyNumberFormat="1" applyBorder="1"/>
    <xf numFmtId="9" fontId="17" fillId="0" borderId="1" xfId="5" applyFont="1" applyBorder="1"/>
    <xf numFmtId="0" fontId="19" fillId="8" borderId="1" xfId="4" applyFont="1" applyFill="1" applyBorder="1" applyAlignment="1">
      <alignment vertical="top" readingOrder="1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4" fillId="0" borderId="0" xfId="4" applyFont="1" applyBorder="1" applyAlignment="1">
      <alignment horizontal="center" vertical="center"/>
    </xf>
    <xf numFmtId="2" fontId="14" fillId="0" borderId="0" xfId="4" applyNumberFormat="1" applyFont="1" applyBorder="1" applyAlignment="1">
      <alignment horizontal="center" vertical="center"/>
    </xf>
    <xf numFmtId="164" fontId="14" fillId="5" borderId="0" xfId="4" applyNumberFormat="1" applyFont="1" applyFill="1" applyBorder="1" applyAlignment="1">
      <alignment horizontal="center" vertical="center"/>
    </xf>
    <xf numFmtId="165" fontId="14" fillId="5" borderId="0" xfId="4" applyNumberFormat="1" applyFont="1" applyFill="1" applyBorder="1" applyAlignment="1">
      <alignment horizontal="center" vertical="center"/>
    </xf>
    <xf numFmtId="10" fontId="1" fillId="0" borderId="1" xfId="4" applyNumberFormat="1" applyBorder="1"/>
    <xf numFmtId="10" fontId="14" fillId="5" borderId="0" xfId="4" applyNumberFormat="1" applyFont="1" applyFill="1" applyBorder="1" applyAlignment="1">
      <alignment horizontal="center" vertical="center"/>
    </xf>
    <xf numFmtId="9" fontId="0" fillId="0" borderId="0" xfId="3" applyFont="1"/>
  </cellXfs>
  <cellStyles count="6">
    <cellStyle name="Normal" xfId="0" builtinId="0"/>
    <cellStyle name="Normal 2" xfId="2" xr:uid="{C9EE64CC-7196-494D-ACAA-DD8FE7E7CA8D}"/>
    <cellStyle name="Normal 3" xfId="4" xr:uid="{E83FBE1F-3756-438D-9C6D-CA8F4E90D2B9}"/>
    <cellStyle name="Normal 9" xfId="1" xr:uid="{52265593-8615-42ED-B6FF-38A6872CD35F}"/>
    <cellStyle name="Percent" xfId="3" builtinId="5"/>
    <cellStyle name="Percent 2" xfId="5" xr:uid="{56D3D9E9-9731-43BB-8929-A93462F695B6}"/>
  </cellStyles>
  <dxfs count="15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Sheet3!$C$25:$C$41</c:f>
              <c:strCache>
                <c:ptCount val="17"/>
                <c:pt idx="0">
                  <c:v>CAP</c:v>
                </c:pt>
                <c:pt idx="1">
                  <c:v>CPS</c:v>
                </c:pt>
                <c:pt idx="2">
                  <c:v>CPSS</c:v>
                </c:pt>
                <c:pt idx="3">
                  <c:v>D&amp;A</c:v>
                </c:pt>
                <c:pt idx="4">
                  <c:v>eCommerce</c:v>
                </c:pt>
                <c:pt idx="5">
                  <c:v>ETEC</c:v>
                </c:pt>
                <c:pt idx="6">
                  <c:v>Foundry</c:v>
                </c:pt>
                <c:pt idx="7">
                  <c:v>HCM</c:v>
                </c:pt>
                <c:pt idx="8">
                  <c:v>I&amp;O</c:v>
                </c:pt>
                <c:pt idx="9">
                  <c:v>ISG</c:v>
                </c:pt>
                <c:pt idx="10">
                  <c:v>IT Finance</c:v>
                </c:pt>
                <c:pt idx="11">
                  <c:v>JDF</c:v>
                </c:pt>
                <c:pt idx="12">
                  <c:v>MSP</c:v>
                </c:pt>
                <c:pt idx="13">
                  <c:v>OM</c:v>
                </c:pt>
                <c:pt idx="14">
                  <c:v>PDC</c:v>
                </c:pt>
                <c:pt idx="15">
                  <c:v>PDP</c:v>
                </c:pt>
                <c:pt idx="16">
                  <c:v>R1OF</c:v>
                </c:pt>
              </c:strCache>
            </c:strRef>
          </c:cat>
          <c:val>
            <c:numRef>
              <c:f>Sheet3!$D$25:$D$41</c:f>
              <c:numCache>
                <c:formatCode>0%</c:formatCode>
                <c:ptCount val="17"/>
                <c:pt idx="0">
                  <c:v>0.47789999999999999</c:v>
                </c:pt>
                <c:pt idx="1">
                  <c:v>0.49540000000000001</c:v>
                </c:pt>
                <c:pt idx="2">
                  <c:v>0.44189999999999996</c:v>
                </c:pt>
                <c:pt idx="3">
                  <c:v>0.53100000000000003</c:v>
                </c:pt>
                <c:pt idx="4">
                  <c:v>0.49030000000000001</c:v>
                </c:pt>
                <c:pt idx="5">
                  <c:v>0.38939999999999997</c:v>
                </c:pt>
                <c:pt idx="6">
                  <c:v>0.51390000000000002</c:v>
                </c:pt>
                <c:pt idx="7">
                  <c:v>0.44909999999999994</c:v>
                </c:pt>
                <c:pt idx="8">
                  <c:v>0.45069999999999999</c:v>
                </c:pt>
                <c:pt idx="9">
                  <c:v>0.4269</c:v>
                </c:pt>
                <c:pt idx="10">
                  <c:v>0.45419999999999999</c:v>
                </c:pt>
                <c:pt idx="11">
                  <c:v>0.49299999999999999</c:v>
                </c:pt>
                <c:pt idx="12">
                  <c:v>0.4637</c:v>
                </c:pt>
                <c:pt idx="13">
                  <c:v>0.55490000000000006</c:v>
                </c:pt>
                <c:pt idx="14">
                  <c:v>0.44650000000000001</c:v>
                </c:pt>
                <c:pt idx="15">
                  <c:v>0.52200000000000002</c:v>
                </c:pt>
                <c:pt idx="16">
                  <c:v>0.41369999999999996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D-4125-B73F-EC7F0BAF17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349250</xdr:colOff>
      <xdr:row>26</xdr:row>
      <xdr:rowOff>73025</xdr:rowOff>
    </xdr:from>
    <xdr:to>
      <xdr:col>11</xdr:col>
      <xdr:colOff>298450</xdr:colOff>
      <xdr:row>39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536AC-EA4A-6385-FAF0-E01D5006C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mita Joshi" refreshedDate="45819.464830671299" createdVersion="8" refreshedVersion="8" minRefreshableVersion="3" recordCount="207" xr:uid="{05087E63-2E10-4FEF-9FE1-EEEE74AAAD9B}">
  <cacheSource type="worksheet">
    <worksheetSource ref="A1:AF208" sheet="for Kishore use"/>
  </cacheSource>
  <cacheFields count="32">
    <cacheField name="Employee ID" numFmtId="0">
      <sharedItems containsSemiMixedTypes="0" containsString="0" containsNumber="1" containsInteger="1" minValue="1000110" maxValue="1602284"/>
    </cacheField>
    <cacheField name="Employee Name" numFmtId="0">
      <sharedItems/>
    </cacheField>
    <cacheField name="Employee Status" numFmtId="0">
      <sharedItems containsBlank="1"/>
    </cacheField>
    <cacheField name="Employee Type" numFmtId="0">
      <sharedItems containsBlank="1"/>
    </cacheField>
    <cacheField name="Designation" numFmtId="0">
      <sharedItems containsBlank="1"/>
    </cacheField>
    <cacheField name="IRM" numFmtId="0">
      <sharedItems containsBlank="1"/>
    </cacheField>
    <cacheField name="Parent BG" numFmtId="0">
      <sharedItems containsBlank="1"/>
    </cacheField>
    <cacheField name="Parent BU" numFmtId="0">
      <sharedItems containsBlank="1"/>
    </cacheField>
    <cacheField name="Competency" numFmtId="0">
      <sharedItems/>
    </cacheField>
    <cacheField name="Allocation Type" numFmtId="0">
      <sharedItems containsBlank="1"/>
    </cacheField>
    <cacheField name="Sub Allocation Type" numFmtId="0">
      <sharedItems containsBlank="1"/>
    </cacheField>
    <cacheField name="Allocation %" numFmtId="0">
      <sharedItems containsString="0" containsBlank="1" containsNumber="1" containsInteger="1" minValue="100" maxValue="100"/>
    </cacheField>
    <cacheField name="Hourly Bill Rates" numFmtId="0">
      <sharedItems containsString="0" containsBlank="1" containsNumber="1" containsInteger="1" minValue="880" maxValue="2300"/>
    </cacheField>
    <cacheField name="Conversion Factor" numFmtId="0">
      <sharedItems containsString="0" containsBlank="1" containsNumber="1" minValue="1.2195121951219513E-2" maxValue="1.2195121951219513E-2"/>
    </cacheField>
    <cacheField name="Run Rate (Monthly)" numFmtId="0">
      <sharedItems containsString="0" containsBlank="1" containsNumber="1" minValue="1931.7073170731708" maxValue="5048.7804878048782"/>
    </cacheField>
    <cacheField name="CTC" numFmtId="0">
      <sharedItems containsString="0" containsBlank="1" containsNumber="1" minValue="487704" maxValue="2861008"/>
    </cacheField>
    <cacheField name="OH" numFmtId="0">
      <sharedItems containsString="0" containsBlank="1" containsNumber="1" containsInteger="1" minValue="300000" maxValue="300000"/>
    </cacheField>
    <cacheField name="CTC(U)" numFmtId="0">
      <sharedItems containsString="0" containsBlank="1" containsNumber="1" minValue="487704" maxValue="2861008"/>
    </cacheField>
    <cacheField name="OH(U)" numFmtId="0">
      <sharedItems containsString="0" containsBlank="1" containsNumber="1" containsInteger="1" minValue="300000" maxValue="300000"/>
    </cacheField>
    <cacheField name="Emp Cost" numFmtId="0">
      <sharedItems containsString="0" containsBlank="1" containsNumber="1" minValue="763.27906976744191" maxValue="3062.9922480620153"/>
    </cacheField>
    <cacheField name="Profit" numFmtId="0">
      <sharedItems containsString="0" containsBlank="1" containsNumber="1" minValue="798.95774248440171" maxValue="3013.6990924560409"/>
    </cacheField>
    <cacheField name="Profit%" numFmtId="10">
      <sharedItems containsSemiMixedTypes="0" containsString="0" containsNumber="1" minValue="0.18699186991869918" maxValue="0.75163141380583243"/>
    </cacheField>
    <cacheField name="Project Name" numFmtId="0">
      <sharedItems containsBlank="1"/>
    </cacheField>
    <cacheField name="Group" numFmtId="0">
      <sharedItems count="17">
        <s v="CAP"/>
        <s v="I&amp;O"/>
        <s v="CPS"/>
        <s v="PDP"/>
        <s v="CPSS"/>
        <s v="JDF"/>
        <s v="D&amp;A"/>
        <s v="PDC"/>
        <s v="MSP"/>
        <s v="OM"/>
        <s v="Ecommerce"/>
        <s v="Foundry"/>
        <s v="ISG"/>
        <s v="ETEC"/>
        <s v="IT Finance"/>
        <s v="R1OF"/>
        <s v="HCM"/>
      </sharedItems>
    </cacheField>
    <cacheField name="Project Manager" numFmtId="0">
      <sharedItems containsBlank="1"/>
    </cacheField>
    <cacheField name="Delivery Manager" numFmtId="0">
      <sharedItems containsBlank="1"/>
    </cacheField>
    <cacheField name="Project BUHSSUH" numFmtId="0">
      <sharedItems containsBlank="1"/>
    </cacheField>
    <cacheField name="Project BGHSSGH" numFmtId="0">
      <sharedItems containsBlank="1"/>
    </cacheField>
    <cacheField name="Project BG" numFmtId="0">
      <sharedItems containsBlank="1"/>
    </cacheField>
    <cacheField name="Project BU" numFmtId="0">
      <sharedItems containsBlank="1"/>
    </cacheField>
    <cacheField name="Project Hour Day" numFmtId="0">
      <sharedItems containsString="0" containsBlank="1" containsNumber="1" containsInteger="1" minValue="9" maxValue="9"/>
    </cacheField>
    <cacheField name="Project Currenc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1601783"/>
    <s v="Abhishek Premsing Jadhav"/>
    <s v="Active"/>
    <s v="Contractual"/>
    <s v="Contractor"/>
    <s v="Rajesh Radhakrishnan Nair"/>
    <s v="BG5"/>
    <s v="BG5-BU11"/>
    <s v="Microsoft"/>
    <s v="Billable"/>
    <s v="Billable"/>
    <n v="100"/>
    <n v="1800"/>
    <n v="1.2195121951219513E-2"/>
    <n v="3951.2195121951222"/>
    <n v="2430000"/>
    <n v="300000"/>
    <n v="2430000"/>
    <n v="300000"/>
    <n v="2645.3488372093025"/>
    <n v="1305.8706749858197"/>
    <n v="0.3304981337927074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2205"/>
    <s v="Shivam Gopal Kayarkar"/>
    <s v="Active"/>
    <s v="Permanent"/>
    <s v="Consultant"/>
    <s v="Nilesh W Bansodkar"/>
    <s v="BG5"/>
    <s v="BG5-BU15"/>
    <s v="ServiceNow"/>
    <s v="Billable"/>
    <s v="Billable"/>
    <n v="100"/>
    <n v="1700"/>
    <n v="1.2195121951219513E-2"/>
    <n v="3731.707317073171"/>
    <n v="1389395.0424929177"/>
    <n v="300000"/>
    <n v="1389395.0424929177"/>
    <n v="300000"/>
    <n v="1637.0107000900366"/>
    <n v="2094.6966169831344"/>
    <n v="0.56132393004123204"/>
    <s v="JD-TCI-BG4-BU4-I&amp;O"/>
    <x v="1"/>
    <s v="Nilesh W Bansodkar"/>
    <s v="Seshakishore Kumar Kollipara"/>
    <s v="Shailendra Gupta"/>
    <s v="Arun Kumar Mishra"/>
    <s v="BG4"/>
    <s v="BG4-BU4"/>
    <n v="9"/>
    <s v="INR"/>
  </r>
  <r>
    <n v="1102283"/>
    <s v="Prasad Pralhad Kadu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389395.0424929177"/>
    <n v="300000"/>
    <n v="1389395.0424929177"/>
    <n v="300000"/>
    <n v="1637.0107000900366"/>
    <n v="2094.6966169831344"/>
    <n v="0.5613239300412320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2379"/>
    <s v="Pankaj Kumar Singh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389395.0424929177"/>
    <n v="300000"/>
    <n v="1389395.0424929177"/>
    <n v="300000"/>
    <n v="1637.0107000900366"/>
    <n v="2094.6966169831344"/>
    <n v="0.56132393004123204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2381"/>
    <s v="Lakshya Sharma"/>
    <s v="Active"/>
    <s v="Permanent"/>
    <s v="Sr. Software Engineer"/>
    <s v="Rajesh Radhakrishnan Nair"/>
    <s v="BG4"/>
    <s v="BG4-BU4"/>
    <s v="Mobility"/>
    <s v="Billable"/>
    <s v="Billable"/>
    <n v="100"/>
    <n v="1400"/>
    <n v="1.2195121951219513E-2"/>
    <n v="3073.1707317073174"/>
    <n v="1389395.0424929177"/>
    <n v="300000"/>
    <n v="1389395.0424929177"/>
    <n v="300000"/>
    <n v="1637.0107000900366"/>
    <n v="1436.1600316172808"/>
    <n v="0.4673219150500674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4127"/>
    <s v="Mayuri Nandkishorji Mundada"/>
    <s v="Active"/>
    <s v="Permanent"/>
    <s v="Software Engineer"/>
    <s v="Rajesh Radhakrishnan Nair"/>
    <s v="BG4"/>
    <s v="BG4-BU4"/>
    <s v="Java"/>
    <s v="Billable"/>
    <s v="Billable"/>
    <n v="100"/>
    <n v="1400"/>
    <n v="1.2195121951219513E-2"/>
    <n v="3073.1707317073174"/>
    <n v="487704"/>
    <n v="300000"/>
    <n v="487704"/>
    <n v="300000"/>
    <n v="763.27906976744191"/>
    <n v="2309.8916619398756"/>
    <n v="0.7516314138058324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837"/>
    <s v="Shubham Kishor Gajare"/>
    <s v="Active"/>
    <s v="Permanent"/>
    <s v="Software Engineer"/>
    <s v="Rajesh Radhakrishnan Nair"/>
    <s v="BG4"/>
    <s v="BG4-BU4"/>
    <s v="Java"/>
    <s v="Billable"/>
    <s v="Billable"/>
    <n v="100"/>
    <n v="1200"/>
    <n v="1.2195121951219513E-2"/>
    <n v="2634.146341463415"/>
    <n v="500004"/>
    <n v="300000"/>
    <n v="500004"/>
    <n v="300000"/>
    <n v="775.19767441860461"/>
    <n v="1858.9486670448105"/>
    <n v="0.70571199397071505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1033"/>
    <s v="Dipali Bhoyar"/>
    <s v="Resigned"/>
    <s v="Permanent"/>
    <s v="Software Engineer"/>
    <s v="Rajesh Radhakrishnan Nair"/>
    <s v="BG4"/>
    <s v="BG4-BU4"/>
    <s v="Java"/>
    <s v="Billable"/>
    <s v="Billable"/>
    <n v="100"/>
    <n v="900"/>
    <n v="1.2195121951219513E-2"/>
    <n v="1975.6097560975611"/>
    <n v="650004"/>
    <n v="300000"/>
    <n v="650004"/>
    <n v="300000"/>
    <n v="920.54651162790697"/>
    <n v="1055.0632444696541"/>
    <n v="0.53404435831180019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1711"/>
    <s v="Anshul Harniya"/>
    <s v="Active"/>
    <s v="Permanent"/>
    <s v="Software Engineer"/>
    <s v="Rajesh Radhakrishnan Nair"/>
    <s v="BG4"/>
    <s v="BG4-BU4"/>
    <s v="Java"/>
    <s v="Billable"/>
    <s v="Billable"/>
    <n v="100"/>
    <n v="1200"/>
    <n v="1.2195121951219513E-2"/>
    <n v="2634.146341463415"/>
    <n v="650004"/>
    <n v="300000"/>
    <n v="650004"/>
    <n v="300000"/>
    <n v="920.54651162790697"/>
    <n v="1713.599829835508"/>
    <n v="0.6505332687338502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16125"/>
    <s v="Ashwini Jagannath Lohar"/>
    <s v="Active"/>
    <s v="Permanent"/>
    <s v="Software Engineer"/>
    <s v="Rajesh Radhakrishnan Nair"/>
    <s v="BG4"/>
    <s v="BG4-BU4"/>
    <s v="Java"/>
    <s v="Billable"/>
    <s v="Billable"/>
    <n v="100"/>
    <n v="1400"/>
    <n v="1.2195121951219513E-2"/>
    <n v="3073.1707317073174"/>
    <n v="695604"/>
    <n v="300000"/>
    <n v="695604"/>
    <n v="300000"/>
    <n v="964.73255813953483"/>
    <n v="2108.4381735677825"/>
    <n v="0.6860790882244370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625"/>
    <s v="Praveen Ravi Bhende"/>
    <s v="Active"/>
    <s v="Permanent"/>
    <s v="Sr. DevOps Engineer"/>
    <s v="Rajesh Radhakrishnan Nair"/>
    <s v="BG5"/>
    <s v="BG5-BU9"/>
    <s v="DevOps"/>
    <s v="Billable"/>
    <s v="Billable"/>
    <n v="100"/>
    <n v="1700"/>
    <n v="1.2195121951219513E-2"/>
    <n v="3731.707317073171"/>
    <n v="750000"/>
    <n v="300000"/>
    <n v="750000"/>
    <n v="300000"/>
    <n v="1017.4418604651163"/>
    <n v="2714.2654566080546"/>
    <n v="0.72735218118255052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1765"/>
    <s v="Vikas Tank"/>
    <s v="Active"/>
    <s v="Permanent"/>
    <s v="Software Engineer"/>
    <s v="Nilesh W Bansodkar"/>
    <s v="BG4"/>
    <s v="BG4-BU4"/>
    <s v="Python"/>
    <s v="Billable"/>
    <s v="Billable"/>
    <n v="100"/>
    <n v="1700"/>
    <n v="1.2195121951219513E-2"/>
    <n v="3731.707317073171"/>
    <n v="800004"/>
    <n v="300000"/>
    <n v="800004"/>
    <n v="300000"/>
    <n v="1065.8953488372092"/>
    <n v="2665.811968235962"/>
    <n v="0.71436791305669567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815"/>
    <s v="Aman Kumar"/>
    <s v="Active"/>
    <s v="Permanent"/>
    <s v="Software Engineer"/>
    <s v="Nilesh W Bansodkar"/>
    <s v="BG4"/>
    <s v="BG4-BU4"/>
    <s v="Java"/>
    <s v="Billable"/>
    <s v="Billable"/>
    <n v="100"/>
    <n v="1700"/>
    <n v="1.2195121951219513E-2"/>
    <n v="3731.707317073171"/>
    <n v="800004"/>
    <n v="300000"/>
    <n v="800004"/>
    <n v="300000"/>
    <n v="1065.8953488372092"/>
    <n v="2665.811968235962"/>
    <n v="0.71436791305669567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7094"/>
    <s v="Pravin Arvind Deshpande"/>
    <s v="Active"/>
    <s v="Permanent"/>
    <s v="Sr. Software Engineer"/>
    <s v="Nilesh W Bansodkar"/>
    <s v="BG4"/>
    <s v="BG4-BU4"/>
    <s v="Content Management System (CMS)"/>
    <s v="Billable"/>
    <s v="Billable"/>
    <n v="100"/>
    <n v="880"/>
    <n v="1.2195121951219513E-2"/>
    <n v="1931.7073170731708"/>
    <n v="812508"/>
    <n v="300000"/>
    <n v="812508"/>
    <n v="300000"/>
    <n v="1078.0116279069769"/>
    <n v="853.69568916619392"/>
    <n v="0.44193842494714586"/>
    <s v="JD-TCI-BG4-BU4-CPSS"/>
    <x v="4"/>
    <s v="Nilesh W Bansodkar"/>
    <s v="Seshakishore Kumar Kollipara"/>
    <s v="Shailendra Gupta"/>
    <s v="Arun Kumar Mishra"/>
    <s v="BG4"/>
    <s v="BG4-BU4"/>
    <n v="9"/>
    <s v="INR"/>
  </r>
  <r>
    <n v="1014827"/>
    <s v="Shradha Agnibhoj"/>
    <s v="Active"/>
    <s v="Permanent"/>
    <s v="Software Engineer"/>
    <s v="Rajesh Radhakrishnan Nair"/>
    <s v="BG4"/>
    <s v="BG4-BU4"/>
    <s v="AWS - App Dev"/>
    <s v="Billable"/>
    <s v="Billable"/>
    <n v="100"/>
    <n v="1200"/>
    <n v="1.2195121951219513E-2"/>
    <n v="2634.146341463415"/>
    <n v="824208"/>
    <n v="300000"/>
    <n v="824208"/>
    <n v="300000"/>
    <n v="1089.3488372093022"/>
    <n v="1544.7975042541127"/>
    <n v="0.58645090439276493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15066"/>
    <s v="Aman Kumar"/>
    <s v="Active"/>
    <s v="Permanent"/>
    <s v="Software Engineer"/>
    <s v="Nilesh W Bansodkar"/>
    <s v="BG4"/>
    <s v="BG4-BU4"/>
    <s v="Java"/>
    <s v="Billable"/>
    <s v="Billable"/>
    <n v="100"/>
    <n v="1200"/>
    <n v="1.2195121951219513E-2"/>
    <n v="2634.146341463415"/>
    <n v="855000"/>
    <n v="300000"/>
    <n v="855000"/>
    <n v="300000"/>
    <n v="1119.1860465116279"/>
    <n v="1514.9602949517871"/>
    <n v="0.57512381567614135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2750"/>
    <s v="Jeet Kumar Patidar"/>
    <s v="Active"/>
    <s v="Permanent"/>
    <s v="Software Engineer"/>
    <s v="Manish Gupta"/>
    <s v="BG4"/>
    <s v="BG4-BU4"/>
    <s v="Java"/>
    <s v="Billable"/>
    <s v="Billable"/>
    <n v="100"/>
    <n v="1400"/>
    <n v="1.2195121951219513E-2"/>
    <n v="3073.1707317073174"/>
    <n v="862908"/>
    <n v="300000"/>
    <n v="862908"/>
    <n v="300000"/>
    <n v="1126.8488372093022"/>
    <n v="1946.3218944980151"/>
    <n v="0.63332696566998903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17632"/>
    <s v="Ajinkya Sharad Mane"/>
    <s v="Active"/>
    <s v="Permanent"/>
    <s v="UI Specialist"/>
    <s v="Rajesh Radhakrishnan Nair"/>
    <s v="BG5"/>
    <s v="BG5-BU1"/>
    <s v="User Interface (UI)"/>
    <s v="Billable"/>
    <s v="Billable"/>
    <n v="100"/>
    <n v="1400"/>
    <n v="1.2195121951219513E-2"/>
    <n v="3073.1707317073174"/>
    <n v="884508"/>
    <n v="300000"/>
    <n v="884508"/>
    <n v="300000"/>
    <n v="1147.7790697674418"/>
    <n v="1925.3916619398756"/>
    <n v="0.62651633444075305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6619"/>
    <s v="Pratik Venkatesh Kurbet"/>
    <s v="Active"/>
    <s v="Permanent"/>
    <s v="Software Engineer"/>
    <s v="Nilesh W Bansodkar"/>
    <s v="BG4"/>
    <s v="BG4-BU4"/>
    <s v="Java"/>
    <s v="Billable"/>
    <s v="Billable"/>
    <n v="100"/>
    <n v="1700"/>
    <n v="1.2195121951219513E-2"/>
    <n v="3731.707317073171"/>
    <n v="898608"/>
    <n v="300000"/>
    <n v="898608"/>
    <n v="300000"/>
    <n v="1161.4418604651162"/>
    <n v="2570.2654566080546"/>
    <n v="0.6887639458884329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6671"/>
    <s v="Shubham Sharadchand Patil"/>
    <s v="Active"/>
    <s v="Permanent"/>
    <s v="Software Engineer"/>
    <s v="Rajesh Radhakrishnan Nair"/>
    <s v="BG4"/>
    <s v="BG4-BU4"/>
    <s v="Java"/>
    <s v="Billable"/>
    <s v="Billable"/>
    <n v="100"/>
    <n v="1200"/>
    <n v="1.2195121951219513E-2"/>
    <n v="2634.146341463415"/>
    <n v="909504"/>
    <n v="300000"/>
    <n v="909504"/>
    <n v="300000"/>
    <n v="1172"/>
    <n v="1462.146341463415"/>
    <n v="0.55507407407407416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16107"/>
    <s v="Shekhar Kumar Jha"/>
    <s v="Active"/>
    <s v="Permanent"/>
    <s v="Sr. Software Engineer"/>
    <s v="Rajesh Radhakrishnan Nair"/>
    <s v="BG4"/>
    <s v="BG4-BU4"/>
    <s v="Java"/>
    <s v="Billable"/>
    <s v="Billable"/>
    <n v="100"/>
    <n v="1400"/>
    <n v="1.2195121951219513E-2"/>
    <n v="3073.1707317073174"/>
    <n v="956304"/>
    <n v="300000"/>
    <n v="956304"/>
    <n v="300000"/>
    <n v="1217.3488372093022"/>
    <n v="1855.8218944980151"/>
    <n v="0.6038785529715763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180"/>
    <s v="Prem Gajanan Sharma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000008"/>
    <n v="300000"/>
    <n v="1000008"/>
    <n v="300000"/>
    <n v="1259.6976744186047"/>
    <n v="2472.0096426545661"/>
    <n v="0.66243395652834769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7704"/>
    <s v="Arati Junghare"/>
    <s v="Active"/>
    <s v="Permanent"/>
    <s v="Software Engineer"/>
    <s v="Nilesh W Bansodkar"/>
    <s v="BG5"/>
    <s v="BG5-BU12"/>
    <s v="Data &amp; Analytics"/>
    <s v="Billable"/>
    <s v="Billable"/>
    <n v="100"/>
    <n v="1700"/>
    <n v="1.2195121951219513E-2"/>
    <n v="3731.707317073171"/>
    <n v="1050000"/>
    <n v="300000"/>
    <n v="1050000"/>
    <n v="300000"/>
    <n v="1308.1395348837209"/>
    <n v="2423.5677821894501"/>
    <n v="0.6494528043775650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0814"/>
    <s v="Kale Laxmikant Vitthalrao"/>
    <s v="Active"/>
    <s v="Permanent"/>
    <s v="Software Engineer"/>
    <s v="Nilesh W Bansodkar"/>
    <s v="BG5"/>
    <s v="BG5-BU12"/>
    <s v="Data &amp; Analytics"/>
    <s v="Billable"/>
    <s v="Billable"/>
    <n v="100"/>
    <n v="1200"/>
    <n v="1.2195121951219513E-2"/>
    <n v="2634.146341463415"/>
    <n v="1050000"/>
    <n v="300000"/>
    <n v="1050000"/>
    <n v="300000"/>
    <n v="1308.1395348837209"/>
    <n v="1326.0068065796941"/>
    <n v="0.50339147286821717"/>
    <s v="JD-TCI-BG4-BU4-I&amp;O"/>
    <x v="1"/>
    <s v="Nilesh W Bansodkar"/>
    <s v="Seshakishore Kumar Kollipara"/>
    <s v="Shailendra Gupta"/>
    <s v="Arun Kumar Mishra"/>
    <s v="BG4"/>
    <s v="BG4-BU4"/>
    <n v="9"/>
    <s v="INR"/>
  </r>
  <r>
    <n v="1011367"/>
    <s v="Avinash Kumar Singh"/>
    <s v="Active"/>
    <s v="Permanent"/>
    <s v="Software Engineer"/>
    <s v="Rajesh Radhakrishnan Nair"/>
    <s v="BG5"/>
    <s v="BG5-BU11"/>
    <s v="Microsoft"/>
    <s v="Billable"/>
    <s v="Billable"/>
    <n v="100"/>
    <n v="1400"/>
    <n v="1.2195121951219513E-2"/>
    <n v="3073.1707317073174"/>
    <n v="1100004"/>
    <n v="300000"/>
    <n v="1100004"/>
    <n v="300000"/>
    <n v="1356.5930232558139"/>
    <n v="1716.5777084515034"/>
    <n v="0.5585689368770764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645"/>
    <s v="Ankita Ajay Chaudhari"/>
    <s v="Active"/>
    <s v="Permanent"/>
    <s v="Associate Consultant"/>
    <s v="Rajesh Radhakrishnan Nair"/>
    <s v="BG5"/>
    <s v="BG5-BU11"/>
    <s v="Microsoft"/>
    <s v="Billable"/>
    <s v="Billable"/>
    <n v="100"/>
    <n v="1400"/>
    <n v="1.2195121951219513E-2"/>
    <n v="3073.1707317073174"/>
    <n v="1100004"/>
    <n v="300000"/>
    <n v="1100004"/>
    <n v="300000"/>
    <n v="1356.5930232558139"/>
    <n v="1716.5777084515034"/>
    <n v="0.5585689368770764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065"/>
    <s v="Sonali Vasudeo Koli"/>
    <s v="Active"/>
    <s v="Permanent"/>
    <s v="Sr. Software Engineer"/>
    <s v="Rajesh Radhakrishnan Nair"/>
    <s v="BG4"/>
    <s v="BG4-BU4"/>
    <s v="Java"/>
    <s v="Billable"/>
    <s v="Billable"/>
    <n v="100"/>
    <n v="1400"/>
    <n v="1.2195121951219513E-2"/>
    <n v="3073.1707317073174"/>
    <n v="1100004"/>
    <n v="300000"/>
    <n v="1100004"/>
    <n v="300000"/>
    <n v="1356.5930232558139"/>
    <n v="1716.5777084515034"/>
    <n v="0.55856893687707643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1813"/>
    <s v="Sadanand Jotiram Bhosale"/>
    <s v="Active"/>
    <s v="Permanent"/>
    <s v="Sr. Software Engineer"/>
    <s v="Rajesh Radhakrishnan Nair"/>
    <s v="BG4"/>
    <s v="BG4-BU4"/>
    <s v="Java"/>
    <s v="Billable"/>
    <s v="Billable"/>
    <n v="100"/>
    <n v="1200"/>
    <n v="1.2195121951219513E-2"/>
    <n v="2634.146341463415"/>
    <n v="1100004"/>
    <n v="300000"/>
    <n v="1100004"/>
    <n v="300000"/>
    <n v="1356.5930232558139"/>
    <n v="1277.553318207601"/>
    <n v="0.48499709302325589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2109"/>
    <s v="Sradha Suman Dash"/>
    <s v="Active"/>
    <s v="Permanent"/>
    <s v="Sr. Software Engineer"/>
    <s v="Nilesh W Bansodkar"/>
    <s v="BG5"/>
    <s v="BG5-BU12"/>
    <s v="Data &amp; Analytics"/>
    <s v="Billable"/>
    <s v="Billable"/>
    <n v="100"/>
    <n v="1700"/>
    <n v="1.2195121951219513E-2"/>
    <n v="3731.707317073171"/>
    <n v="1100004"/>
    <n v="300000"/>
    <n v="1100004"/>
    <n v="300000"/>
    <n v="1356.5930232558139"/>
    <n v="2375.1142938173571"/>
    <n v="0.63646853625171007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17790"/>
    <s v="Kanchan Mallayya Mugalwar"/>
    <s v="Active"/>
    <s v="Permanent"/>
    <s v="Sr. Software Engineer"/>
    <s v="Nilesh W Bansodkar"/>
    <s v="BG5"/>
    <s v="BG5-BU12"/>
    <s v="Data &amp; Analytics"/>
    <s v="Billable"/>
    <s v="Billable"/>
    <n v="100"/>
    <n v="1800"/>
    <n v="1.2195121951219513E-2"/>
    <n v="3951.2195121951222"/>
    <n v="1140000"/>
    <n v="300000"/>
    <n v="1140000"/>
    <n v="300000"/>
    <n v="1395.3488372093022"/>
    <n v="2555.8706749858202"/>
    <n v="0.64685615848406552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7087"/>
    <s v="Shubham Sanjay Deshpande"/>
    <s v="Active"/>
    <s v="Permanent"/>
    <s v="Sr. Software Engineer"/>
    <s v="Rajesh Radhakrishnan Nair"/>
    <s v="BG4"/>
    <s v="BG4-BU4"/>
    <s v="Java"/>
    <s v="Billable"/>
    <s v="Billable"/>
    <n v="100"/>
    <n v="1200"/>
    <n v="1.2195121951219513E-2"/>
    <n v="2634.146341463415"/>
    <n v="1146804"/>
    <n v="300000"/>
    <n v="1146804"/>
    <n v="300000"/>
    <n v="1401.9418604651162"/>
    <n v="1232.2044809982988"/>
    <n v="0.4677813307493541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1276"/>
    <s v="Mohammad Parvej Mansuri"/>
    <s v="Active"/>
    <s v="Permanent"/>
    <s v="UI Specialist"/>
    <s v="Nilesh W Bansodkar"/>
    <s v="BG5"/>
    <s v="BG5-BU1"/>
    <s v="User Interface (UI)"/>
    <s v="Billable"/>
    <s v="Billable"/>
    <n v="100"/>
    <n v="1800"/>
    <n v="1.2195121951219513E-2"/>
    <n v="3951.2195121951222"/>
    <n v="1194600"/>
    <n v="300000"/>
    <n v="1194600"/>
    <n v="300000"/>
    <n v="1448.2558139534883"/>
    <n v="2502.9636982416341"/>
    <n v="0.6334661211599197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0304"/>
    <s v="Uday Rajit Singh Panesar"/>
    <s v="Active"/>
    <s v="Permanent"/>
    <s v="Sr. Software Engineer"/>
    <s v="Nilesh W Bansodkar"/>
    <s v="BG4"/>
    <s v="BG4-BU4"/>
    <s v="Microsoft"/>
    <s v="Billable"/>
    <s v="Billable"/>
    <n v="100"/>
    <n v="1200"/>
    <n v="1.2195121951219513E-2"/>
    <n v="2634.146341463415"/>
    <n v="1197108"/>
    <n v="300000"/>
    <n v="1197108"/>
    <n v="300000"/>
    <n v="1450.6860465116279"/>
    <n v="1183.4602949517871"/>
    <n v="0.44927659345391913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100745"/>
    <s v="Pushpak Satish Bhambar"/>
    <s v="Active"/>
    <s v="Permanent"/>
    <s v="Sr. Software Engineer"/>
    <s v="Rajesh Radhakrishnan Nair"/>
    <s v="BG4"/>
    <s v="BG4-BU4"/>
    <s v="Java"/>
    <s v="Billable"/>
    <s v="Billable"/>
    <n v="100"/>
    <n v="1200"/>
    <n v="1.2195121951219513E-2"/>
    <n v="2634.146341463415"/>
    <n v="1200000"/>
    <n v="300000"/>
    <n v="1200000"/>
    <n v="300000"/>
    <n v="1453.4883720930231"/>
    <n v="1180.6579693703918"/>
    <n v="0.4482127476313523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133"/>
    <s v="Shweta Dilip Dokhe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200000"/>
    <n v="300000"/>
    <n v="1200000"/>
    <n v="300000"/>
    <n v="1453.4883720930231"/>
    <n v="2278.2189449801481"/>
    <n v="0.61050311597507234"/>
    <s v="JD-TCI-BG4-BU4-MSP"/>
    <x v="8"/>
    <s v="Rajesh Radhakrishnan Nair"/>
    <s v="Seshakishore Kumar Kollipara"/>
    <s v="Shailendra Gupta"/>
    <s v="Arun Kumar Mishra"/>
    <s v="BG4"/>
    <s v="BG4-BU4"/>
    <n v="9"/>
    <s v="INR"/>
  </r>
  <r>
    <n v="1101512"/>
    <s v="Sachin Vijay Jadhav"/>
    <s v="Active"/>
    <s v="Permanent"/>
    <s v="Sr. Software Engineer"/>
    <s v="Rajesh Radhakrishnan Nair"/>
    <s v="BG4"/>
    <s v="BG4-BU4"/>
    <s v="Java"/>
    <s v="Billable"/>
    <s v="Billable"/>
    <n v="100"/>
    <n v="1200"/>
    <n v="1.2195121951219513E-2"/>
    <n v="2634.146341463415"/>
    <n v="1200000"/>
    <n v="300000"/>
    <n v="1200000"/>
    <n v="300000"/>
    <n v="1453.4883720930231"/>
    <n v="1180.6579693703918"/>
    <n v="0.44821274763135238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1708"/>
    <s v="Rahul Vilas Pawar"/>
    <s v="Active"/>
    <s v="Permanent"/>
    <s v="Sr. Software Engineer"/>
    <s v="Nilesh W Bansodkar"/>
    <s v="BG5"/>
    <s v="BG5-BU12"/>
    <s v="Data &amp; Analytics"/>
    <s v="Billable"/>
    <s v="Billable"/>
    <n v="100"/>
    <n v="1700"/>
    <n v="1.2195121951219513E-2"/>
    <n v="3731.707317073171"/>
    <n v="1200000"/>
    <n v="300000"/>
    <n v="1200000"/>
    <n v="300000"/>
    <n v="1453.4883720930231"/>
    <n v="2278.2189449801481"/>
    <n v="0.6105031159750723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3343"/>
    <s v="Aarti Rupchand Shete"/>
    <s v="Active"/>
    <s v="Permanent"/>
    <s v="Sr. Software Engineer"/>
    <s v="Nilesh W Bansodkar"/>
    <s v="BG4"/>
    <s v="BG4-BU4"/>
    <s v="Java"/>
    <s v="Billable"/>
    <s v="Billable"/>
    <n v="100"/>
    <n v="1400"/>
    <n v="1.2195121951219513E-2"/>
    <n v="3073.1707317073174"/>
    <n v="1201008"/>
    <n v="300000"/>
    <n v="1201008"/>
    <n v="300000"/>
    <n v="1454.4651162790697"/>
    <n v="1618.7056154282477"/>
    <n v="0.5267216685123662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5565"/>
    <s v="Mithun Jayswal"/>
    <s v="Active"/>
    <s v="Permanent"/>
    <s v="Sr. Software Engineer"/>
    <s v="Rajesh Radhakrishnan Nair"/>
    <s v="BG4"/>
    <s v="BG4-BU4"/>
    <s v="Mainframe"/>
    <s v="Billable"/>
    <s v="Billable"/>
    <n v="100"/>
    <n v="1700"/>
    <n v="1.2195121951219513E-2"/>
    <n v="3731.707317073171"/>
    <n v="1201008"/>
    <n v="300000"/>
    <n v="1201008"/>
    <n v="300000"/>
    <n v="1454.4651162790697"/>
    <n v="2277.2422007941013"/>
    <n v="0.61024137406900747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4287"/>
    <s v="Shaily Rai"/>
    <s v="Active"/>
    <s v="Permanent"/>
    <s v="Sr. Software Engineer"/>
    <s v="Manish Gupta"/>
    <s v="BG4"/>
    <s v="BG4-BU4"/>
    <s v="Java"/>
    <s v="Billable"/>
    <s v="Billable"/>
    <n v="100"/>
    <n v="1700"/>
    <n v="1.2195121951219513E-2"/>
    <n v="3731.707317073171"/>
    <n v="1212600"/>
    <n v="300000"/>
    <n v="1212600"/>
    <n v="300000"/>
    <n v="1465.6976744186047"/>
    <n v="2266.0096426545661"/>
    <n v="0.60723134214926278"/>
    <s v="JD-TCI-BG4-BU4-OM"/>
    <x v="9"/>
    <s v="Nilesh W Bansodkar"/>
    <s v="Seshakishore Kumar Kollipara"/>
    <s v="Shailendra Gupta"/>
    <s v="Arun Kumar Mishra"/>
    <s v="BG4"/>
    <s v="BG4-BU4"/>
    <n v="9"/>
    <s v="INR"/>
  </r>
  <r>
    <n v="1100167"/>
    <s v="Bhavika Patil"/>
    <s v="Active"/>
    <s v="Permanent"/>
    <s v="Sr. Software Engineer"/>
    <s v="Nilesh W Bansodkar"/>
    <s v="BG5"/>
    <s v="BG5-BU12"/>
    <s v="Data &amp; Analytics"/>
    <s v="Billable"/>
    <s v="Billable"/>
    <n v="100"/>
    <n v="1400"/>
    <n v="1.2195121951219513E-2"/>
    <n v="3073.1707317073174"/>
    <n v="1249704"/>
    <n v="300000"/>
    <n v="1249704"/>
    <n v="300000"/>
    <n v="1501.6511627906978"/>
    <n v="1571.5195689166196"/>
    <n v="0.5113674787744555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5715"/>
    <s v="Aniket Verma"/>
    <s v="Active"/>
    <s v="Permanent"/>
    <s v="Sr. Software Engineer"/>
    <s v="Nilesh W Bansodkar"/>
    <s v="BG4"/>
    <s v="BG4-BU4"/>
    <s v="Mainframe"/>
    <s v="Billable"/>
    <s v="Billable"/>
    <n v="100"/>
    <n v="1700"/>
    <n v="1.2195121951219513E-2"/>
    <n v="3731.707317073171"/>
    <n v="1253808"/>
    <n v="300000"/>
    <n v="1253808"/>
    <n v="300000"/>
    <n v="1505.6279069767443"/>
    <n v="2226.0794100964267"/>
    <n v="0.59653108375133002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6906"/>
    <s v="Jalasutram Durga Prasad"/>
    <s v="Active"/>
    <s v="Permanent"/>
    <s v="Sr. Software Engineer"/>
    <s v="Nilesh W Bansodkar"/>
    <s v="BG4"/>
    <s v="BG4-BU4"/>
    <s v="Mainframe"/>
    <s v="Billable"/>
    <s v="Billable"/>
    <n v="100"/>
    <n v="1500"/>
    <n v="1.2195121951219513E-2"/>
    <n v="3292.6829268292681"/>
    <n v="1264008"/>
    <n v="300000"/>
    <n v="1264008"/>
    <n v="300000"/>
    <n v="1515.5116279069769"/>
    <n v="1777.1712989222913"/>
    <n v="0.53973350559862177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16893"/>
    <s v="Mahima Shrivastava"/>
    <s v="Active"/>
    <s v="Permanent"/>
    <s v="Sr. Software Engineer"/>
    <s v="Nilesh W Bansodkar"/>
    <s v="BG4"/>
    <s v="BG4-BU4"/>
    <s v="Java"/>
    <s v="Billable"/>
    <s v="Billable"/>
    <n v="100"/>
    <n v="1200"/>
    <n v="1.2195121951219513E-2"/>
    <n v="2634.146341463415"/>
    <n v="1266504"/>
    <n v="300000"/>
    <n v="1266504"/>
    <n v="300000"/>
    <n v="1517.9302325581396"/>
    <n v="1116.2161089052754"/>
    <n v="0.42374870801033598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2249"/>
    <s v="Shriram Prakash Salunkhe"/>
    <s v="Active"/>
    <s v="Permanent"/>
    <s v="UI Specialist"/>
    <s v="Rajesh Radhakrishnan Nair"/>
    <s v="BG5"/>
    <s v="BG5-BU1"/>
    <s v="User Interface (UI)"/>
    <s v="Billable"/>
    <s v="Billable"/>
    <n v="100"/>
    <n v="1700"/>
    <n v="1.2195121951219513E-2"/>
    <n v="3731.707317073171"/>
    <n v="1282908"/>
    <n v="300000"/>
    <n v="1282908"/>
    <n v="300000"/>
    <n v="1533.8255813953488"/>
    <n v="2197.8817356778222"/>
    <n v="0.58897484420124646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101314"/>
    <s v="Himanshu Chowhan"/>
    <s v="Active"/>
    <s v="Permanent"/>
    <s v="Test Engineer"/>
    <s v="Nilesh W Bansodkar"/>
    <s v="BG4"/>
    <s v="BG4-BU4"/>
    <s v="Testing"/>
    <s v="Billable"/>
    <s v="Billable"/>
    <n v="100"/>
    <n v="1400"/>
    <n v="1.2195121951219513E-2"/>
    <n v="3073.1707317073174"/>
    <n v="1300008"/>
    <n v="300000"/>
    <n v="1300008"/>
    <n v="300000"/>
    <n v="1550.3953488372092"/>
    <n v="1522.7753828701082"/>
    <n v="0.4955062753783685"/>
    <s v="JD-TCI-BG4-BU4-Ecommerce"/>
    <x v="10"/>
    <s v="Nilesh W Bansodkar"/>
    <s v="Seshakishore Kumar Kollipara"/>
    <s v="Shailendra Gupta"/>
    <s v="Arun Kumar Mishra"/>
    <s v="BG4"/>
    <s v="BG4-BU4"/>
    <n v="9"/>
    <s v="INR"/>
  </r>
  <r>
    <n v="1102064"/>
    <s v="Ayushi Khare"/>
    <s v="Active"/>
    <s v="Permanent"/>
    <s v="Sr. Software Engineer"/>
    <s v="Nilesh W Bansodkar"/>
    <s v="BG5"/>
    <s v="BG5-BU1"/>
    <s v="User Interface (UI)"/>
    <s v="Billable"/>
    <s v="Billable"/>
    <n v="100"/>
    <n v="1200"/>
    <n v="1.2195121951219513E-2"/>
    <n v="2634.146341463415"/>
    <n v="1300008"/>
    <n v="300000"/>
    <n v="1300008"/>
    <n v="300000"/>
    <n v="1550.3953488372092"/>
    <n v="1083.7509926262057"/>
    <n v="0.41142398794142993"/>
    <s v="JD-TCI-BG4-BU4-Foundry"/>
    <x v="11"/>
    <s v="Nilesh W Bansodkar"/>
    <s v="Seshakishore Kumar Kollipara"/>
    <s v="Shailendra Gupta"/>
    <s v="Arun Kumar Mishra"/>
    <s v="BG4"/>
    <s v="BG4-BU4"/>
    <n v="9"/>
    <s v="INR"/>
  </r>
  <r>
    <n v="1016581"/>
    <s v="Nitesh Mandloi"/>
    <s v="Active"/>
    <s v="Permanent"/>
    <s v="Sr. Software Engineer"/>
    <s v="Nilesh W Bansodkar"/>
    <s v="BG4"/>
    <s v="BG4-BU4"/>
    <s v="Java"/>
    <s v="Billable"/>
    <s v="Billable"/>
    <n v="100"/>
    <n v="1400"/>
    <n v="1.2195121951219513E-2"/>
    <n v="3073.1707317073174"/>
    <n v="1310208"/>
    <n v="300000"/>
    <n v="1310208"/>
    <n v="300000"/>
    <n v="1560.2790697674418"/>
    <n v="1512.8916619398756"/>
    <n v="0.49229014396456267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7353"/>
    <s v="Ajfar Aziz"/>
    <s v="Resigned"/>
    <s v="Permanent"/>
    <s v="Sr. Software Engineer"/>
    <s v="Nilesh W Bansodkar"/>
    <s v="BG4"/>
    <s v="BG4-BU4"/>
    <s v="Mainframe"/>
    <s v="Billable"/>
    <s v="Billable"/>
    <n v="100"/>
    <n v="1700"/>
    <n v="1.2195121951219513E-2"/>
    <n v="3731.707317073171"/>
    <n v="1313208"/>
    <n v="300000"/>
    <n v="1313208"/>
    <n v="300000"/>
    <n v="1563.1860465116279"/>
    <n v="2168.5212705615431"/>
    <n v="0.58110700714394292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100287"/>
    <s v="Shardullya Vikram Singh"/>
    <s v="Active"/>
    <s v="Permanent"/>
    <s v="Sr. Software Engineer"/>
    <s v="Rajesh Radhakrishnan Nair"/>
    <s v="BG4"/>
    <s v="BG4-BU4"/>
    <s v="Mobility"/>
    <s v="Billable"/>
    <s v="Billable"/>
    <n v="100"/>
    <n v="1400"/>
    <n v="1.2195121951219513E-2"/>
    <n v="3073.1707317073174"/>
    <n v="1326108"/>
    <n v="300000"/>
    <n v="1326108"/>
    <n v="300000"/>
    <n v="1575.6860465116279"/>
    <n v="1497.4846851956895"/>
    <n v="0.48727676264304176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16755"/>
    <s v="Dnyaneshwar Dhansing Jaybhay"/>
    <s v="Active"/>
    <s v="Permanent"/>
    <s v="Software Engineer"/>
    <s v="Nilesh W Bansodkar"/>
    <s v="BG4"/>
    <s v="BG4-BU4"/>
    <s v="Java"/>
    <s v="Billable"/>
    <s v="Billable"/>
    <n v="100"/>
    <n v="1200"/>
    <n v="1.2195121951219513E-2"/>
    <n v="2634.146341463415"/>
    <n v="1345104"/>
    <n v="300000"/>
    <n v="1345104"/>
    <n v="300000"/>
    <n v="1594.0930232558139"/>
    <n v="1040.053318207601"/>
    <n v="0.39483505598621887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761"/>
    <s v="Anivesh Nishad"/>
    <s v="Active"/>
    <s v="Permanent"/>
    <s v="Sr. Software Engineer"/>
    <s v="Nilesh W Bansodkar"/>
    <s v="BG4"/>
    <s v="BG4-BU4"/>
    <s v="Python"/>
    <s v="Billable"/>
    <s v="Billable"/>
    <n v="100"/>
    <n v="1400"/>
    <n v="1.2195121951219513E-2"/>
    <n v="3073.1707317073174"/>
    <n v="1350000"/>
    <n v="300000"/>
    <n v="1350000"/>
    <n v="300000"/>
    <n v="1598.8372093023256"/>
    <n v="1474.3335224049918"/>
    <n v="0.4797434477667036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2035"/>
    <s v="Aniket Krushnat Gaikwad"/>
    <s v="Active"/>
    <s v="Permanent"/>
    <s v="Sr. Software Engineer"/>
    <s v="Nilesh W Bansodkar"/>
    <s v="BG4"/>
    <s v="BG4-BU4"/>
    <s v="Java"/>
    <s v="Billable"/>
    <s v="Billable"/>
    <n v="100"/>
    <n v="1200"/>
    <n v="1.2195121951219513E-2"/>
    <n v="2634.146341463415"/>
    <n v="1350000"/>
    <n v="300000"/>
    <n v="1350000"/>
    <n v="300000"/>
    <n v="1598.8372093023256"/>
    <n v="1035.3091321610893"/>
    <n v="0.39303402239448759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15842"/>
    <s v="Ankita Rathi"/>
    <s v="Active"/>
    <s v="Permanent"/>
    <s v="Sr. Software Engineer"/>
    <s v="Rajesh Radhakrishnan Nair"/>
    <s v="BG4"/>
    <s v="BG4-BU4"/>
    <s v="Java"/>
    <s v="Billable"/>
    <s v="Billable"/>
    <n v="100"/>
    <n v="1400"/>
    <n v="1.2195121951219513E-2"/>
    <n v="3073.1707317073174"/>
    <n v="1350108"/>
    <n v="300000"/>
    <n v="1350108"/>
    <n v="300000"/>
    <n v="1598.9418604651162"/>
    <n v="1474.2288712422012"/>
    <n v="0.4797093946105575"/>
    <s v="JD-TCI-BG4-BU4-MSP"/>
    <x v="8"/>
    <s v="Rajesh Radhakrishnan Nair"/>
    <s v="Seshakishore Kumar Kollipara"/>
    <s v="Shailendra Gupta"/>
    <s v="Arun Kumar Mishra"/>
    <s v="BG4"/>
    <s v="BG4-BU4"/>
    <n v="9"/>
    <s v="INR"/>
  </r>
  <r>
    <n v="1100746"/>
    <s v="Rohit Gopal Bajaj"/>
    <s v="Active"/>
    <s v="Permanent"/>
    <s v="Sr. Software Engineer"/>
    <s v="Nilesh W Bansodkar"/>
    <s v="BG4"/>
    <s v="BG4-BU4"/>
    <s v="Mainframe"/>
    <s v="Billable"/>
    <s v="Billable"/>
    <n v="100"/>
    <n v="1200"/>
    <n v="1.2195121951219513E-2"/>
    <n v="2634.146341463415"/>
    <n v="1360008"/>
    <n v="300000"/>
    <n v="1360008"/>
    <n v="300000"/>
    <n v="1608.5348837209303"/>
    <n v="1025.6114577424846"/>
    <n v="0.38935249784668391"/>
    <s v="JD-TCI-BG4-BU4-ETEC"/>
    <x v="13"/>
    <s v="Nilesh W Bansodkar"/>
    <s v="Seshakishore Kumar Kollipara"/>
    <s v="Shailendra Gupta"/>
    <s v="Arun Kumar Mishra"/>
    <s v="BG4"/>
    <s v="BG4-BU4"/>
    <n v="9"/>
    <s v="INR"/>
  </r>
  <r>
    <n v="1017347"/>
    <s v="Doodala Sai Krishna"/>
    <s v="Active"/>
    <s v="Permanent"/>
    <s v="Sr. Software Engineer"/>
    <s v="Nilesh W Bansodkar"/>
    <s v="BG4"/>
    <s v="BG4-BU4"/>
    <s v="Mainframe"/>
    <s v="Billable"/>
    <s v="Billable"/>
    <n v="100"/>
    <n v="1700"/>
    <n v="1.2195121951219513E-2"/>
    <n v="3731.707317073171"/>
    <n v="1383708"/>
    <n v="300000"/>
    <n v="1383708"/>
    <n v="300000"/>
    <n v="1631.5"/>
    <n v="2100.207317073171"/>
    <n v="0.56280065359477127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100770"/>
    <s v="K. Yathish"/>
    <s v="Active"/>
    <s v="Permanent"/>
    <s v="Consultant"/>
    <s v="Rajesh Radhakrishnan Nair"/>
    <s v="BG5"/>
    <s v="BG5-BU11"/>
    <s v="Microsoft"/>
    <s v="Billable"/>
    <s v="Billable"/>
    <n v="100"/>
    <n v="1400"/>
    <n v="1.2195121951219513E-2"/>
    <n v="3073.1707317073174"/>
    <n v="1400004"/>
    <n v="300000"/>
    <n v="1400004"/>
    <n v="300000"/>
    <n v="1647.2906976744187"/>
    <n v="1425.8800340328987"/>
    <n v="0.46397683647102256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087"/>
    <s v="Aditya Balasaheb Korade"/>
    <s v="Active"/>
    <s v="Permanent"/>
    <s v="UI Specialist"/>
    <s v="Nilesh W Bansodkar"/>
    <s v="BG5"/>
    <s v="BG5-BU1"/>
    <s v="User Interface (UI)"/>
    <s v="Billable"/>
    <s v="Billable"/>
    <n v="100"/>
    <n v="1400"/>
    <n v="1.2195121951219513E-2"/>
    <n v="3073.1707317073174"/>
    <n v="1400004"/>
    <n v="300000"/>
    <n v="1400004"/>
    <n v="300000"/>
    <n v="1647.2906976744187"/>
    <n v="1425.8800340328987"/>
    <n v="0.46397683647102256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306"/>
    <s v="Edde Rajasekhar Reddy"/>
    <s v="Active"/>
    <s v="Permanent"/>
    <s v="Consultant"/>
    <s v="Rajesh Radhakrishnan Nair"/>
    <s v="BG5"/>
    <s v="BG5-BU11"/>
    <s v="Microsoft"/>
    <s v="Billable"/>
    <s v="Billable"/>
    <n v="100"/>
    <n v="1700"/>
    <n v="1.2195121951219513E-2"/>
    <n v="3731.707317073171"/>
    <n v="1400004"/>
    <n v="300000"/>
    <n v="1400004"/>
    <n v="300000"/>
    <n v="1647.2906976744187"/>
    <n v="2084.4166193987521"/>
    <n v="0.55856915944672436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424"/>
    <s v="Nikhilkumar Narayanrao Wattamwar"/>
    <s v="Active"/>
    <s v="Permanent"/>
    <s v="Sr. Software Engineer"/>
    <s v="Nilesh W Bansodkar"/>
    <s v="BG4"/>
    <s v="BG4-BU4"/>
    <s v="Java"/>
    <s v="Billable"/>
    <s v="Billable"/>
    <n v="100"/>
    <n v="1400"/>
    <n v="1.2195121951219513E-2"/>
    <n v="3073.1707317073174"/>
    <n v="1400004"/>
    <n v="300000"/>
    <n v="1400004"/>
    <n v="300000"/>
    <n v="1647.2906976744187"/>
    <n v="1425.8800340328987"/>
    <n v="0.46397683647102256"/>
    <s v="JD-TCI-BG4-BU4-Ecommerce"/>
    <x v="10"/>
    <s v="Nilesh W Bansodkar"/>
    <s v="Seshakishore Kumar Kollipara"/>
    <s v="Shailendra Gupta"/>
    <s v="Arun Kumar Mishra"/>
    <s v="BG4"/>
    <s v="BG4-BU4"/>
    <n v="9"/>
    <s v="INR"/>
  </r>
  <r>
    <n v="1102117"/>
    <s v="Vishal Ashok Pandit"/>
    <s v="Active"/>
    <s v="Permanent"/>
    <s v="Sr. Software Engineer"/>
    <s v="Rajesh Radhakrishnan Nair"/>
    <s v="BG4"/>
    <s v="BG4-BU4"/>
    <s v="Java"/>
    <s v="Billable"/>
    <s v="Billable"/>
    <n v="100"/>
    <n v="1200"/>
    <n v="1.2195121951219513E-2"/>
    <n v="2634.146341463415"/>
    <n v="1400004"/>
    <n v="300000"/>
    <n v="1400004"/>
    <n v="300000"/>
    <n v="1647.2906976744187"/>
    <n v="986.8556437889963"/>
    <n v="0.37463964254952631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12437"/>
    <s v="Gaurav Dinkar Patil"/>
    <s v="Active"/>
    <s v="Permanent"/>
    <s v="Sr. Software Engineer"/>
    <s v="Rajesh Radhakrishnan Nair"/>
    <s v="BG4"/>
    <s v="BG4-BU4"/>
    <s v="Java"/>
    <s v="Billable"/>
    <s v="Billable"/>
    <n v="100"/>
    <n v="1200"/>
    <n v="1.2195121951219513E-2"/>
    <n v="2634.146341463415"/>
    <n v="1401204"/>
    <n v="300000"/>
    <n v="1401204"/>
    <n v="300000"/>
    <n v="1648.453488372093"/>
    <n v="985.69285309132192"/>
    <n v="0.3741982127476314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011"/>
    <s v="Manish Madhukar Yadav"/>
    <s v="Active"/>
    <s v="Permanent"/>
    <s v="Sr. Software Engineer"/>
    <s v="Nilesh W Bansodkar"/>
    <s v="BG5"/>
    <s v="BG5-BU12"/>
    <s v="Data &amp; Analytics"/>
    <s v="Billable"/>
    <s v="Billable"/>
    <n v="100"/>
    <n v="1700"/>
    <n v="1.2195121951219513E-2"/>
    <n v="3731.707317073171"/>
    <n v="1410600"/>
    <n v="300000"/>
    <n v="1410600"/>
    <n v="300000"/>
    <n v="1657.5581395348838"/>
    <n v="2074.1491775382874"/>
    <n v="0.55581775345797235"/>
    <s v="JD-TCI-BG4-BU4-Ecommerce"/>
    <x v="10"/>
    <s v="Nilesh W Bansodkar"/>
    <s v="Seshakishore Kumar Kollipara"/>
    <s v="Shailendra Gupta"/>
    <s v="Arun Kumar Mishra"/>
    <s v="BG4"/>
    <s v="BG4-BU4"/>
    <n v="9"/>
    <s v="INR"/>
  </r>
  <r>
    <n v="1014386"/>
    <s v="Ajit Raosaheb Bute"/>
    <s v="Resigned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436904"/>
    <n v="300000"/>
    <n v="1436904"/>
    <n v="300000"/>
    <n v="1683.046511627907"/>
    <n v="2048.660805445264"/>
    <n v="0.54898753609971118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101270"/>
    <s v="Kalyani Shiromani Meshram"/>
    <s v="Active"/>
    <s v="Permanent"/>
    <s v="Sr. Software Engineer"/>
    <s v="Rajesh Radhakrishnan Nair"/>
    <s v="BG4"/>
    <s v="BG4-BU4"/>
    <s v="Mainframe"/>
    <s v="Billable"/>
    <s v="Billable"/>
    <n v="100"/>
    <n v="1400"/>
    <n v="1.2195121951219513E-2"/>
    <n v="3073.1707317073174"/>
    <n v="1450008"/>
    <n v="300000"/>
    <n v="1450008"/>
    <n v="300000"/>
    <n v="1695.7441860465117"/>
    <n v="1377.4265456608057"/>
    <n v="0.44821022517534148"/>
    <s v="JD-TCI-BG4-BU4-IT Finance"/>
    <x v="14"/>
    <s v="Rajesh Radhakrishnan Nair"/>
    <s v="Seshakishore Kumar Kollipara"/>
    <s v="Shailendra Gupta"/>
    <s v="Arun Kumar Mishra"/>
    <s v="BG4"/>
    <s v="BG4-BU4"/>
    <n v="9"/>
    <s v="INR"/>
  </r>
  <r>
    <n v="1101521"/>
    <s v="Mullamuri Bhargavi"/>
    <s v="Active"/>
    <s v="Permanent"/>
    <s v="Consultant"/>
    <s v="Rajesh Radhakrishnan Nair"/>
    <s v="BG5"/>
    <s v="BG5-BU11"/>
    <s v="Microsoft"/>
    <s v="Billable"/>
    <s v="Billable"/>
    <n v="100"/>
    <n v="1400"/>
    <n v="1.2195121951219513E-2"/>
    <n v="3073.1707317073174"/>
    <n v="1450008"/>
    <n v="300000"/>
    <n v="1450008"/>
    <n v="300000"/>
    <n v="1695.7441860465117"/>
    <n v="1377.4265456608057"/>
    <n v="0.4482102251753414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5086"/>
    <s v="Ashish Prakash Shastri"/>
    <s v="Active"/>
    <s v="Permanent"/>
    <s v="Sr. Software Engineer"/>
    <s v="Rajesh Radhakrishnan Nair"/>
    <s v="BG5"/>
    <s v="BG5-BU12"/>
    <s v="Data &amp; Analytics"/>
    <s v="Billable"/>
    <s v="Billable"/>
    <n v="100"/>
    <n v="1800"/>
    <n v="1.2195121951219513E-2"/>
    <n v="3951.2195121951222"/>
    <n v="1456800"/>
    <n v="300000"/>
    <n v="1456800"/>
    <n v="300000"/>
    <n v="1702.3255813953488"/>
    <n v="2248.8939307997734"/>
    <n v="0.56916451335055995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284"/>
    <s v="Omkar Vaibhav Shinde"/>
    <s v="Active"/>
    <s v="Permanent"/>
    <s v="Sr. Software Engineer"/>
    <s v="Rajesh Radhakrishnan Nair"/>
    <s v="BG4"/>
    <s v="BG4-BU4"/>
    <s v="Mobility"/>
    <s v="Billable"/>
    <s v="Billable"/>
    <n v="100"/>
    <n v="1400"/>
    <n v="1.2195121951219513E-2"/>
    <n v="3073.1707317073174"/>
    <n v="1456800"/>
    <n v="300000"/>
    <n v="1456800"/>
    <n v="300000"/>
    <n v="1702.3255813953488"/>
    <n v="1370.8451503119686"/>
    <n v="0.44606866002214846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08172"/>
    <s v="Shailendrakumar Amarsing Vasave"/>
    <s v="Active"/>
    <s v="Permanent"/>
    <s v="Sr. Consultant"/>
    <s v="Rajesh Radhakrishnan Nair"/>
    <s v="BG4"/>
    <s v="BG4-BU2"/>
    <s v="Oracle"/>
    <s v="Billable"/>
    <s v="Billable"/>
    <n v="100"/>
    <n v="1700"/>
    <n v="1.2195121951219513E-2"/>
    <n v="3731.707317073171"/>
    <n v="1474508"/>
    <n v="300000"/>
    <n v="1474508"/>
    <n v="300000"/>
    <n v="1719.484496124031"/>
    <n v="2012.22282094914"/>
    <n v="0.5392231088817957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04759"/>
    <s v="Anoop Halder"/>
    <s v="Active"/>
    <s v="Permanent"/>
    <s v="Test Lead"/>
    <s v="Rajesh Radhakrishnan Nair"/>
    <s v="BG4"/>
    <s v="BG4-BU4"/>
    <s v="Testing"/>
    <s v="Billable"/>
    <s v="Billable"/>
    <n v="100"/>
    <n v="1400"/>
    <n v="1.2195121951219513E-2"/>
    <n v="3073.1707317073174"/>
    <n v="1488004"/>
    <n v="300000"/>
    <n v="1488004"/>
    <n v="300000"/>
    <n v="1732.562015503876"/>
    <n v="1340.6087162034414"/>
    <n v="0.43622982035191343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13003"/>
    <s v="Parikshit Abhimanyu Nemane"/>
    <s v="Active"/>
    <s v="Permanent"/>
    <s v="UI Specialist"/>
    <s v="Rajesh Radhakrishnan Nair"/>
    <s v="BG5"/>
    <s v="BG5-BU1"/>
    <s v="User Interface (UI)"/>
    <s v="Billable"/>
    <s v="Billable"/>
    <n v="100"/>
    <n v="1700"/>
    <n v="1.2195121951219513E-2"/>
    <n v="3731.707317073171"/>
    <n v="1500000"/>
    <n v="300000"/>
    <n v="1500000"/>
    <n v="300000"/>
    <n v="1744.1860465116279"/>
    <n v="1987.5212705615431"/>
    <n v="0.53260373917008663"/>
    <s v="JD-TCI-BG4-BU4-MSP"/>
    <x v="8"/>
    <s v="Rajesh Radhakrishnan Nair"/>
    <s v="Seshakishore Kumar Kollipara"/>
    <s v="Shailendra Gupta"/>
    <s v="Arun Kumar Mishra"/>
    <s v="BG4"/>
    <s v="BG4-BU4"/>
    <n v="9"/>
    <s v="INR"/>
  </r>
  <r>
    <n v="1100468"/>
    <s v="Pooja Ashok Ambawle"/>
    <s v="Active"/>
    <s v="Permanent"/>
    <s v="Sr. Software Engineer"/>
    <s v="Nilesh W Bansodkar"/>
    <s v="BG4"/>
    <s v="BG4-BU4"/>
    <s v="Mainframe"/>
    <s v="Billable"/>
    <s v="Billable"/>
    <n v="100"/>
    <n v="1800"/>
    <n v="1.2195121951219513E-2"/>
    <n v="3951.2195121951222"/>
    <n v="1500000"/>
    <n v="300000"/>
    <n v="1500000"/>
    <n v="300000"/>
    <n v="1744.1860465116279"/>
    <n v="2207.0334656834943"/>
    <n v="0.55857019810508191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100583"/>
    <s v="Kaushiki Avinash Tapadiya"/>
    <s v="Active"/>
    <s v="Permanent"/>
    <s v="Sr. Software Engineer"/>
    <s v="Rajesh Radhakrishnan Nair"/>
    <s v="BG4"/>
    <s v="BG4-BU4"/>
    <s v="Java"/>
    <s v="Billable"/>
    <s v="Billable"/>
    <n v="100"/>
    <n v="1400"/>
    <n v="1.2195121951219513E-2"/>
    <n v="3073.1707317073174"/>
    <n v="1500000"/>
    <n v="300000"/>
    <n v="1500000"/>
    <n v="300000"/>
    <n v="1744.1860465116279"/>
    <n v="1328.9846851956895"/>
    <n v="0.43244739756367673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300"/>
    <s v="Aman Mishra"/>
    <s v="Active"/>
    <s v="Permanent"/>
    <s v="Sr. Software Engineer"/>
    <s v="Nilesh W Bansodkar"/>
    <s v="BG4"/>
    <s v="BG4-BU4"/>
    <s v="Python"/>
    <s v="Billable"/>
    <s v="Billable"/>
    <n v="100"/>
    <n v="1700"/>
    <n v="1.2195121951219513E-2"/>
    <n v="3731.707317073171"/>
    <n v="1500000"/>
    <n v="300000"/>
    <n v="1500000"/>
    <n v="300000"/>
    <n v="1744.1860465116279"/>
    <n v="1987.5212705615431"/>
    <n v="0.5326037391700866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621"/>
    <s v="Upasna .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500000"/>
    <n v="300000"/>
    <n v="1500000"/>
    <n v="300000"/>
    <n v="1744.1860465116279"/>
    <n v="1987.5212705615431"/>
    <n v="0.5326037391700866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688"/>
    <s v="Shantanu Mithilesh Moraskr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500000"/>
    <n v="300000"/>
    <n v="1500000"/>
    <n v="300000"/>
    <n v="1744.1860465116279"/>
    <n v="1987.5212705615431"/>
    <n v="0.53260373917008663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08473"/>
    <s v="Jyoti Singh"/>
    <s v="Resigned"/>
    <s v="Permanent"/>
    <s v="Sr. Test Engineer"/>
    <s v="Rajesh Radhakrishnan Nair"/>
    <s v="BG4"/>
    <s v="BG4-BU4"/>
    <s v="Testing"/>
    <s v="Billable"/>
    <s v="Billable"/>
    <n v="100"/>
    <n v="1160"/>
    <n v="1.2195121951219513E-2"/>
    <n v="2546.3414634146343"/>
    <n v="1503300"/>
    <n v="300000"/>
    <n v="1503300"/>
    <n v="300000"/>
    <n v="1747.3837209302326"/>
    <n v="798.95774248440171"/>
    <n v="0.31376692951973628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16590"/>
    <s v="Tangella Yaswanth Sai Kalyan"/>
    <s v="Active"/>
    <s v="Permanent"/>
    <s v="Sr. Software Engineer"/>
    <s v="Nilesh W Bansodkar"/>
    <s v="BG4"/>
    <s v="BG4-BU4"/>
    <s v="Mainframe"/>
    <s v="Billable"/>
    <s v="Billable"/>
    <n v="100"/>
    <n v="1700"/>
    <n v="1.2195121951219513E-2"/>
    <n v="3731.707317073171"/>
    <n v="1510308"/>
    <n v="300000"/>
    <n v="1510308"/>
    <n v="300000"/>
    <n v="1754.1744186046512"/>
    <n v="1977.5328984685198"/>
    <n v="0.52992711658306735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5059"/>
    <s v="Rishabh Singh Yadav"/>
    <s v="Active"/>
    <s v="Permanent"/>
    <s v="Sr. Test Engineer"/>
    <s v="Rajesh Radhakrishnan Nair"/>
    <s v="BG4"/>
    <s v="BG4-BU4"/>
    <s v="Testing"/>
    <s v="Billable"/>
    <s v="Billable"/>
    <n v="100"/>
    <n v="1400"/>
    <n v="1.2195121951219513E-2"/>
    <n v="3073.1707317073174"/>
    <n v="1517508"/>
    <n v="300000"/>
    <n v="1517508"/>
    <n v="300000"/>
    <n v="1761.1511627906978"/>
    <n v="1312.0195689166196"/>
    <n v="0.42692700258397936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07148"/>
    <s v="Atul Laxmanrao Vairale"/>
    <s v="Active"/>
    <s v="Permanent"/>
    <s v="Module Lead"/>
    <s v="Nilesh W Bansodkar"/>
    <s v="BG4"/>
    <s v="BG4-BU4"/>
    <s v="Java"/>
    <s v="Billable"/>
    <s v="Billable"/>
    <n v="100"/>
    <n v="1800"/>
    <n v="1.2195121951219513E-2"/>
    <n v="3951.2195121951222"/>
    <n v="1521704"/>
    <n v="300000"/>
    <n v="1521704"/>
    <n v="300000"/>
    <n v="1765.2170542635658"/>
    <n v="2186.0024579315564"/>
    <n v="0.55324753564934448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5881"/>
    <s v="Sandana Ajay Kumar"/>
    <s v="Active"/>
    <s v="Permanent"/>
    <s v="Sr. Software Engineer"/>
    <s v="Rajesh Radhakrishnan Nair"/>
    <s v="BG4"/>
    <s v="BG4-BU4"/>
    <s v="Mainframe"/>
    <s v="Billable"/>
    <s v="Billable"/>
    <n v="100"/>
    <n v="1700"/>
    <n v="1.2195121951219513E-2"/>
    <n v="3731.707317073171"/>
    <n v="1521900"/>
    <n v="300000"/>
    <n v="1521900"/>
    <n v="300000"/>
    <n v="1765.4069767441861"/>
    <n v="1966.3003403289849"/>
    <n v="0.52691708466332277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7397"/>
    <s v="Akash Mahadev Jadhav"/>
    <s v="Active"/>
    <s v="Permanent"/>
    <s v="Sr. Software Engineer"/>
    <s v="Nilesh W Bansodkar"/>
    <s v="BG5"/>
    <s v="BG5-BU12"/>
    <s v="Data &amp; Analytics"/>
    <s v="Billable"/>
    <s v="Billable"/>
    <n v="100"/>
    <n v="1800"/>
    <n v="1.2195121951219513E-2"/>
    <n v="3951.2195121951222"/>
    <n v="1524708"/>
    <n v="300000"/>
    <n v="1524708"/>
    <n v="300000"/>
    <n v="1768.1279069767443"/>
    <n v="2183.0916052183779"/>
    <n v="0.55251083835773762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09270"/>
    <s v="Anuja Jalindar Ajab"/>
    <s v="Active"/>
    <s v="Permanent"/>
    <s v="Sr. Software Engineer"/>
    <s v="Nilesh W Bansodkar"/>
    <s v="BG4"/>
    <s v="BG4-BU4"/>
    <s v="Microsoft"/>
    <s v="Billable"/>
    <s v="Billable"/>
    <n v="100"/>
    <n v="1800"/>
    <n v="1.2195121951219513E-2"/>
    <n v="3951.2195121951222"/>
    <n v="1527804"/>
    <n v="300000"/>
    <n v="1527804"/>
    <n v="300000"/>
    <n v="1771.1279069767443"/>
    <n v="2180.0916052183779"/>
    <n v="0.55175157909847838"/>
    <s v="JD-TCI-BG4-BU4-Foundry"/>
    <x v="11"/>
    <s v="Nilesh W Bansodkar"/>
    <s v="Seshakishore Kumar Kollipara"/>
    <s v="Shailendra Gupta"/>
    <s v="Arun Kumar Mishra"/>
    <s v="BG4"/>
    <s v="BG4-BU4"/>
    <n v="9"/>
    <s v="INR"/>
  </r>
  <r>
    <n v="1017714"/>
    <s v="Shubham Jaiswal"/>
    <s v="Active"/>
    <s v="Permanent"/>
    <s v="Sr. Software Engineer"/>
    <s v="Rajesh Radhakrishnan Nair"/>
    <s v="BG4"/>
    <s v="BG4-BU4"/>
    <s v="Java"/>
    <s v="Billable"/>
    <s v="Billable"/>
    <n v="100"/>
    <n v="1300"/>
    <n v="1.2195121951219513E-2"/>
    <n v="2853.6585365853657"/>
    <n v="1529100"/>
    <n v="300000"/>
    <n v="1529100"/>
    <n v="300000"/>
    <n v="1772.3837209302326"/>
    <n v="1081.2748156551331"/>
    <n v="0.37890826873385008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08686"/>
    <s v="Shubhangi Tushar Walgude"/>
    <s v="Active"/>
    <s v="Permanent"/>
    <s v="UI Lead"/>
    <s v="Rajesh Radhakrishnan Nair"/>
    <s v="BG5"/>
    <s v="BG5-BU1"/>
    <s v="User Interface (UI)"/>
    <s v="Billable"/>
    <s v="Billable"/>
    <n v="100"/>
    <n v="1700"/>
    <n v="1.2195121951219513E-2"/>
    <n v="3731.707317073171"/>
    <n v="1539204"/>
    <n v="300000"/>
    <n v="1539204"/>
    <n v="300000"/>
    <n v="1782.1744186046512"/>
    <n v="1949.5328984685198"/>
    <n v="0.52242384860921109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16717"/>
    <s v="Arun Kumar"/>
    <s v="Active"/>
    <s v="Permanent"/>
    <s v="Sr. Software Engineer"/>
    <s v="Rajesh Radhakrishnan Nair"/>
    <s v="BG4"/>
    <s v="BG4-BU4"/>
    <s v="Java"/>
    <s v="Billable"/>
    <s v="Billable"/>
    <n v="100"/>
    <n v="1400"/>
    <n v="1.2195121951219513E-2"/>
    <n v="3073.1707317073174"/>
    <n v="1545000"/>
    <n v="300000"/>
    <n v="1545000"/>
    <n v="300000"/>
    <n v="1787.7906976744187"/>
    <n v="1285.3800340328987"/>
    <n v="0.41825858250276859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7125"/>
    <s v="Ankita Santosh Raut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547904"/>
    <n v="300000"/>
    <n v="1547904"/>
    <n v="300000"/>
    <n v="1790.6046511627908"/>
    <n v="1941.1026659103802"/>
    <n v="0.52016476668186651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13222"/>
    <s v="Anoop Mehra"/>
    <s v="Active"/>
    <s v="Permanent"/>
    <s v="Software Engineer"/>
    <s v="Rajesh Radhakrishnan Nair"/>
    <s v="BG4"/>
    <s v="BG4-BU4"/>
    <s v="Mobility"/>
    <s v="Billable"/>
    <s v="Billable"/>
    <n v="100"/>
    <n v="1400"/>
    <n v="1.2195121951219513E-2"/>
    <n v="3073.1707317073174"/>
    <n v="1550004"/>
    <n v="300000"/>
    <n v="1550004"/>
    <n v="300000"/>
    <n v="1792.6395348837209"/>
    <n v="1280.5311968235965"/>
    <n v="0.41668078626799565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13437"/>
    <s v="Kalpana Bharat Jadhav"/>
    <s v="Active"/>
    <s v="Permanent"/>
    <s v="Sr. Software Engineer"/>
    <s v="Nilesh W Bansodkar"/>
    <s v="BG4"/>
    <s v="BG4-BU4"/>
    <s v="Microsoft"/>
    <s v="Billable"/>
    <s v="Billable"/>
    <n v="100"/>
    <n v="1800"/>
    <n v="1.2195121951219513E-2"/>
    <n v="3951.2195121951222"/>
    <n v="1550004"/>
    <n v="300000"/>
    <n v="1550004"/>
    <n v="300000"/>
    <n v="1792.6395348837209"/>
    <n v="2158.5799773114013"/>
    <n v="0.54630727820844105"/>
    <s v="JD-TCI-BG4-BU4-Foundry"/>
    <x v="11"/>
    <s v="Nilesh W Bansodkar"/>
    <s v="Seshakishore Kumar Kollipara"/>
    <s v="Shailendra Gupta"/>
    <s v="Arun Kumar Mishra"/>
    <s v="BG4"/>
    <s v="BG4-BU4"/>
    <n v="9"/>
    <s v="INR"/>
  </r>
  <r>
    <n v="1101313"/>
    <s v="Ashwini Kishor Kasar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550004"/>
    <n v="300000"/>
    <n v="1550004"/>
    <n v="300000"/>
    <n v="1792.6395348837209"/>
    <n v="1939.0677821894501"/>
    <n v="0.51961947104423167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6532"/>
    <s v="Nikunj Gurjar"/>
    <s v="Active"/>
    <s v="Permanent"/>
    <s v="UI Specialist"/>
    <s v="Nilesh W Bansodkar"/>
    <s v="BG5"/>
    <s v="BG5-BU1"/>
    <s v="User Interface (UI)"/>
    <s v="Billable"/>
    <s v="Billable"/>
    <n v="100"/>
    <n v="1700"/>
    <n v="1.2195121951219513E-2"/>
    <n v="3731.707317073171"/>
    <n v="1550304"/>
    <n v="300000"/>
    <n v="1550304"/>
    <n v="300000"/>
    <n v="1792.9302325581396"/>
    <n v="1938.7770845150314"/>
    <n v="0.51954157166742665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09357"/>
    <s v="Harshal Ketan Patil"/>
    <s v="Active"/>
    <s v="Permanent"/>
    <s v="Module Lead"/>
    <s v="Nilesh W Bansodkar"/>
    <s v="BG4"/>
    <s v="BG4-BU4"/>
    <s v="Java"/>
    <s v="Billable"/>
    <s v="Billable"/>
    <n v="100"/>
    <n v="1800"/>
    <n v="1.2195121951219513E-2"/>
    <n v="3951.2195121951222"/>
    <n v="1550308"/>
    <n v="300000"/>
    <n v="1550308"/>
    <n v="300000"/>
    <n v="1792.9341085271317"/>
    <n v="2158.2854036679905"/>
    <n v="0.54623272561967662"/>
    <s v="JD-TCI-BG4-BU4-Foundry"/>
    <x v="11"/>
    <s v="Nilesh W Bansodkar"/>
    <s v="Seshakishore Kumar Kollipara"/>
    <s v="Shailendra Gupta"/>
    <s v="Arun Kumar Mishra"/>
    <s v="BG4"/>
    <s v="BG4-BU4"/>
    <n v="9"/>
    <s v="INR"/>
  </r>
  <r>
    <n v="1017691"/>
    <s v="Deepa Basavaraj Patil"/>
    <s v="Active"/>
    <s v="Permanent"/>
    <s v="UI Specialist"/>
    <s v="Nilesh W Bansodkar"/>
    <s v="BG5"/>
    <s v="BG5-BU1"/>
    <s v="User Interface (UI)"/>
    <s v="Billable"/>
    <s v="Billable"/>
    <n v="100"/>
    <n v="1800"/>
    <n v="1.2195121951219513E-2"/>
    <n v="3951.2195121951222"/>
    <n v="1561800"/>
    <n v="300000"/>
    <n v="1561800"/>
    <n v="300000"/>
    <n v="1804.0697674418604"/>
    <n v="2147.149744753262"/>
    <n v="0.54341444157335639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09263"/>
    <s v="Monika Manoj Patil"/>
    <s v="Active"/>
    <s v="Permanent"/>
    <s v="Sr. DevOps Engineer"/>
    <s v="Nilesh W Bansodkar"/>
    <s v="BG5"/>
    <s v="BG5-BU9"/>
    <s v="DevOps"/>
    <s v="Billable"/>
    <s v="Billable"/>
    <n v="100"/>
    <n v="1700"/>
    <n v="1.2195121951219513E-2"/>
    <n v="3731.707317073171"/>
    <n v="1585104"/>
    <n v="300000"/>
    <n v="1585104"/>
    <n v="300000"/>
    <n v="1826.6511627906978"/>
    <n v="1905.0561542824732"/>
    <n v="0.510505243958048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7742"/>
    <s v="Govind Kurmi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600008"/>
    <n v="300000"/>
    <n v="1600008"/>
    <n v="300000"/>
    <n v="1841.0930232558139"/>
    <n v="1890.6142938173571"/>
    <n v="0.50663520291837671"/>
    <s v="JD-TCI-BG4-BU4-Ecommerce"/>
    <x v="10"/>
    <s v="Nilesh W Bansodkar"/>
    <s v="Seshakishore Kumar Kollipara"/>
    <s v="Shailendra Gupta"/>
    <s v="Arun Kumar Mishra"/>
    <s v="BG4"/>
    <s v="BG4-BU4"/>
    <n v="9"/>
    <s v="INR"/>
  </r>
  <r>
    <n v="1100988"/>
    <s v="Burande Nikhil Vikas"/>
    <s v="Active"/>
    <s v="Permanent"/>
    <s v="Sr. Software Engineer"/>
    <s v="Rajesh Radhakrishnan Nair"/>
    <s v="BG4"/>
    <s v="BG4-BU4"/>
    <s v="Data &amp; Analytics"/>
    <s v="Billable"/>
    <s v="Billable"/>
    <n v="100"/>
    <n v="1700"/>
    <n v="1.2195121951219513E-2"/>
    <n v="3731.707317073171"/>
    <n v="1600008"/>
    <n v="300000"/>
    <n v="1600008"/>
    <n v="300000"/>
    <n v="1841.0930232558139"/>
    <n v="1890.6142938173571"/>
    <n v="0.50663520291837671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5478"/>
    <s v="Ramdas Tulshiram Buttanwad"/>
    <s v="Active"/>
    <s v="Permanent"/>
    <s v="Sr. Software Engineer"/>
    <s v="Rajesh Radhakrishnan Nair"/>
    <s v="BG4"/>
    <s v="BG4-BU4"/>
    <s v="Node.js"/>
    <s v="Billable"/>
    <s v="Billable"/>
    <n v="100"/>
    <n v="1300"/>
    <n v="1.2195121951219513E-2"/>
    <n v="2853.6585365853657"/>
    <n v="1600404"/>
    <n v="300000"/>
    <n v="1600404"/>
    <n v="300000"/>
    <n v="1841.4767441860465"/>
    <n v="1012.1817923993192"/>
    <n v="0.3546961836612999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14208"/>
    <s v="Priyanshi Zamindar"/>
    <s v="Active"/>
    <s v="Permanent"/>
    <s v="UI Specialist"/>
    <s v="Rajesh Radhakrishnan Nair"/>
    <s v="BG5"/>
    <s v="BG5-BU1"/>
    <s v="User Interface (UI)"/>
    <s v="Billable"/>
    <s v="Billable"/>
    <n v="100"/>
    <n v="1700"/>
    <n v="1.2195121951219513E-2"/>
    <n v="3731.707317073171"/>
    <n v="1602600"/>
    <n v="300000"/>
    <n v="1602600"/>
    <n v="300000"/>
    <n v="1843.6046511627908"/>
    <n v="1888.1026659103802"/>
    <n v="0.50596215230278163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10769"/>
    <s v="Ashish Kailas Beke"/>
    <s v="Active"/>
    <s v="Permanent"/>
    <s v="Module Lead"/>
    <s v="Rajesh Radhakrishnan Nair"/>
    <s v="BG4"/>
    <s v="BG4-BU4"/>
    <s v="Java"/>
    <s v="Billable"/>
    <s v="Billable"/>
    <n v="100"/>
    <n v="1800"/>
    <n v="1.2195121951219513E-2"/>
    <n v="3951.2195121951222"/>
    <n v="1637908"/>
    <n v="300000"/>
    <n v="1637908"/>
    <n v="300000"/>
    <n v="1877.8178294573643"/>
    <n v="2073.4016827377582"/>
    <n v="0.5247498085941239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09451"/>
    <s v="Vrushabh Abhaykumar Wakhariya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650000"/>
    <n v="300000"/>
    <n v="1650000"/>
    <n v="300000"/>
    <n v="1889.5348837209303"/>
    <n v="1842.1724333522407"/>
    <n v="0.49365405076759389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163"/>
    <s v="Akash Sahebrao Kadhane"/>
    <s v="Active"/>
    <s v="Permanent"/>
    <s v="Sr. Software Engineer"/>
    <s v="Nilesh W Bansodkar"/>
    <s v="BG5"/>
    <s v="BG5-BU12"/>
    <s v="Data &amp; Analytics"/>
    <s v="Billable"/>
    <s v="Billable"/>
    <n v="100"/>
    <n v="2100"/>
    <n v="1.2195121951219513E-2"/>
    <n v="4609.7560975609758"/>
    <n v="1650000"/>
    <n v="300000"/>
    <n v="1650000"/>
    <n v="300000"/>
    <n v="1889.5348837209303"/>
    <n v="2720.2212138400455"/>
    <n v="0.5901008982404331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101556"/>
    <s v="Amanaganti Vamshi Reddy"/>
    <s v="Active"/>
    <s v="Permanent"/>
    <s v="Consultant"/>
    <s v="Rajesh Radhakrishnan Nair"/>
    <s v="BG5"/>
    <s v="BG5-BU11"/>
    <s v="Microsoft"/>
    <s v="Billable"/>
    <s v="Billable"/>
    <n v="100"/>
    <n v="1400"/>
    <n v="1.2195121951219513E-2"/>
    <n v="3073.1707317073174"/>
    <n v="1650000"/>
    <n v="300000"/>
    <n v="1650000"/>
    <n v="300000"/>
    <n v="1889.5348837209303"/>
    <n v="1183.635847986387"/>
    <n v="0.38515134736064971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1187"/>
    <s v="Sankar Erupuru"/>
    <s v="Active"/>
    <s v="Permanent"/>
    <s v="Module Lead"/>
    <s v="Nilesh W Bansodkar"/>
    <s v="BG4"/>
    <s v="BG4-BU4"/>
    <s v="Java"/>
    <s v="Billable"/>
    <s v="Billable"/>
    <n v="100"/>
    <n v="1800"/>
    <n v="1.2195121951219513E-2"/>
    <n v="3951.2195121951222"/>
    <n v="1650000"/>
    <n v="300000"/>
    <n v="1650000"/>
    <n v="300000"/>
    <n v="1889.5348837209303"/>
    <n v="2061.6846284741919"/>
    <n v="0.521784381280505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4332"/>
    <s v="Omkar Shahu Kulkarni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650504"/>
    <n v="300000"/>
    <n v="1650504"/>
    <n v="300000"/>
    <n v="1890.0232558139535"/>
    <n v="1841.6840612592175"/>
    <n v="0.49352317981456151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07687"/>
    <s v="Sarika Gautam Kate"/>
    <s v="Active"/>
    <s v="Permanent"/>
    <s v="Module Lead"/>
    <s v="Rajesh Radhakrishnan Nair"/>
    <s v="BG4"/>
    <s v="BG4-BU4"/>
    <s v="Mobility"/>
    <s v="Billable"/>
    <s v="Billable"/>
    <n v="100"/>
    <n v="1700"/>
    <n v="1.2195121951219513E-2"/>
    <n v="3731.707317073171"/>
    <n v="1669604"/>
    <n v="300000"/>
    <n v="1669604"/>
    <n v="300000"/>
    <n v="1908.531007751938"/>
    <n v="1823.176309321233"/>
    <n v="0.48856358615797746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08048"/>
    <s v="Mahesh Anil Thokala"/>
    <s v="Active"/>
    <s v="Permanent"/>
    <s v="Test Lead"/>
    <s v="Nilesh W Bansodkar"/>
    <s v="BG4"/>
    <s v="BG4-BU4"/>
    <s v="Testing"/>
    <s v="Billable"/>
    <s v="Billable"/>
    <n v="100"/>
    <n v="1400"/>
    <n v="1.2195121951219513E-2"/>
    <n v="3073.1707317073174"/>
    <n v="1675908"/>
    <n v="300000"/>
    <n v="1675908"/>
    <n v="300000"/>
    <n v="1914.6395348837209"/>
    <n v="1158.5311968235965"/>
    <n v="0.37698237356958292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4345"/>
    <s v="Shraddha Sandip Jadhav"/>
    <s v="Active"/>
    <s v="Permanent"/>
    <s v="Test Lead"/>
    <s v="Nilesh W Bansodkar"/>
    <s v="BG4"/>
    <s v="BG4-BU4"/>
    <s v="Testing"/>
    <s v="Billable"/>
    <s v="Billable"/>
    <n v="100"/>
    <n v="1400"/>
    <n v="1.2195121951219513E-2"/>
    <n v="3073.1707317073174"/>
    <n v="1690300"/>
    <n v="300000"/>
    <n v="1690300"/>
    <n v="300000"/>
    <n v="1928.5852713178294"/>
    <n v="1144.5854603894879"/>
    <n v="0.37244447520610319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0515"/>
    <s v="Shubham Babanrao Giri"/>
    <s v="Active"/>
    <s v="Permanent"/>
    <s v="Sr. Software Engineer"/>
    <s v="Rajesh Radhakrishnan Nair"/>
    <s v="BG5"/>
    <s v="BG5-BU12"/>
    <s v="Data &amp; Analytics"/>
    <s v="Billable"/>
    <s v="Billable"/>
    <n v="100"/>
    <n v="1400"/>
    <n v="1.2195121951219513E-2"/>
    <n v="3073.1707317073174"/>
    <n v="1700004"/>
    <n v="300000"/>
    <n v="1700004"/>
    <n v="300000"/>
    <n v="1937.9883720930231"/>
    <n v="1135.1823596142942"/>
    <n v="0.36938473606496874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0729"/>
    <s v="Shefali Goyal"/>
    <s v="Active"/>
    <s v="Permanent"/>
    <s v="Sr. Software Engineer"/>
    <s v="Nilesh W Bansodkar"/>
    <s v="BG5"/>
    <s v="BG5-BU1"/>
    <s v="User Interface (UI)"/>
    <s v="Billable"/>
    <s v="Billable"/>
    <n v="100"/>
    <n v="1700"/>
    <n v="1.2195121951219513E-2"/>
    <n v="3731.707317073171"/>
    <n v="1700004"/>
    <n v="300000"/>
    <n v="1700004"/>
    <n v="300000"/>
    <n v="1937.9883720930231"/>
    <n v="1793.7189449801479"/>
    <n v="0.4806697826417389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262"/>
    <s v="Prashanth Kumar Dubey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700004"/>
    <n v="300000"/>
    <n v="1700004"/>
    <n v="300000"/>
    <n v="1937.9883720930231"/>
    <n v="1793.7189449801479"/>
    <n v="0.4806697826417389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02465"/>
    <s v="Manoj Kumar"/>
    <s v="Active"/>
    <s v="Permanent"/>
    <s v="Test Lead"/>
    <s v="Rajesh Radhakrishnan Nair"/>
    <s v="BG4"/>
    <s v="BG4-BU4"/>
    <s v="Testing"/>
    <s v="Billable"/>
    <s v="Billable"/>
    <n v="100"/>
    <n v="1400"/>
    <n v="1.2195121951219513E-2"/>
    <n v="3073.1707317073174"/>
    <n v="1710904"/>
    <n v="300000"/>
    <n v="1710904"/>
    <n v="300000"/>
    <n v="1948.5503875968993"/>
    <n v="1124.620344110418"/>
    <n v="0.36594788975021536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08986"/>
    <s v="Saroj Das"/>
    <s v="Active"/>
    <s v="Permanent"/>
    <s v="Module Lead"/>
    <s v="Rajesh Radhakrishnan Nair"/>
    <s v="BG4"/>
    <s v="BG4-BU4"/>
    <s v="Java"/>
    <s v="Billable"/>
    <s v="Billable"/>
    <n v="100"/>
    <n v="1800"/>
    <n v="1.2195121951219513E-2"/>
    <n v="3951.2195121951222"/>
    <n v="1715004"/>
    <n v="300000"/>
    <n v="1715004"/>
    <n v="300000"/>
    <n v="1952.5232558139535"/>
    <n v="1998.6962563811687"/>
    <n v="0.50584287970140684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4617"/>
    <s v="Ayushi Jain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717908"/>
    <n v="300000"/>
    <n v="1717908"/>
    <n v="300000"/>
    <n v="1955.3372093023256"/>
    <n v="1776.3701077708454"/>
    <n v="0.4760207478340173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2238"/>
    <s v="Pavankumar Gopal Patil"/>
    <s v="Active"/>
    <s v="Permanent"/>
    <s v="Consultant"/>
    <s v="Rajesh Radhakrishnan Nair"/>
    <s v="BG4"/>
    <s v="BG4-BU4"/>
    <s v="Microsoft"/>
    <s v="Billable"/>
    <s v="Billable"/>
    <n v="100"/>
    <n v="1400"/>
    <n v="1.2195121951219513E-2"/>
    <n v="3073.1707317073174"/>
    <n v="1719108"/>
    <n v="300000"/>
    <n v="1719108"/>
    <n v="300000"/>
    <n v="1956.5"/>
    <n v="1116.6707317073174"/>
    <n v="0.36336111111111119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4686"/>
    <s v="Vilas Vitthalrao Deshmukh"/>
    <s v="Active"/>
    <s v="Permanent"/>
    <s v="Module Lead"/>
    <s v="Rajesh Radhakrishnan Nair"/>
    <s v="BG4"/>
    <s v="BG4-BU4"/>
    <s v="Java"/>
    <s v="Billable"/>
    <s v="Billable"/>
    <n v="100"/>
    <n v="1700"/>
    <n v="1.2195121951219513E-2"/>
    <n v="3731.707317073171"/>
    <n v="1720608"/>
    <n v="300000"/>
    <n v="1720608"/>
    <n v="300000"/>
    <n v="1957.953488372093"/>
    <n v="1773.753828701078"/>
    <n v="0.47531965344277249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0136"/>
    <s v="Veeraswamy Chitteti"/>
    <s v="Active"/>
    <s v="Permanent"/>
    <s v="Module Lead"/>
    <s v="Nilesh W Bansodkar"/>
    <s v="BG4"/>
    <s v="BG4-BU4"/>
    <s v="Java"/>
    <s v="Billable"/>
    <s v="Billable"/>
    <n v="100"/>
    <n v="1800"/>
    <n v="1.2195121951219513E-2"/>
    <n v="3951.2195121951222"/>
    <n v="1724908"/>
    <n v="300000"/>
    <n v="1724908"/>
    <n v="300000"/>
    <n v="1962.1201550387598"/>
    <n v="1989.0993571563624"/>
    <n v="0.50341403483586944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0017"/>
    <s v="Bhushan Rameshrao Deoghare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730004"/>
    <n v="300000"/>
    <n v="1730004"/>
    <n v="300000"/>
    <n v="1967.0581395348838"/>
    <n v="1764.6491775382872"/>
    <n v="0.4728798449612403"/>
    <s v="JD-TCI-BG4-BU4-IT Finance"/>
    <x v="14"/>
    <s v="Rajesh Radhakrishnan Nair"/>
    <s v="Seshakishore Kumar Kollipara"/>
    <s v="Shailendra Gupta"/>
    <s v="Arun Kumar Mishra"/>
    <s v="BG4"/>
    <s v="BG4-BU4"/>
    <n v="9"/>
    <s v="INR"/>
  </r>
  <r>
    <n v="1010368"/>
    <s v="Venkata Manikanta Attili"/>
    <s v="Active"/>
    <s v="Permanent"/>
    <s v="Sr. Consultant"/>
    <s v="Rajesh Radhakrishnan Nair"/>
    <s v="BG4"/>
    <s v="BG4-BU2"/>
    <s v="Oracle"/>
    <s v="Billable"/>
    <s v="Billable"/>
    <n v="100"/>
    <n v="1800"/>
    <n v="1.2195121951219513E-2"/>
    <n v="3951.2195121951222"/>
    <n v="1732104"/>
    <n v="300000"/>
    <n v="1732104"/>
    <n v="300000"/>
    <n v="1969.0930232558139"/>
    <n v="1982.1264889393083"/>
    <n v="0.50164929658340518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15978"/>
    <s v="Kanha Shivam Mishra"/>
    <s v="Active"/>
    <s v="Permanent"/>
    <s v="Sr. Software Engineer"/>
    <s v="Rajesh Radhakrishnan Nair"/>
    <s v="BG4"/>
    <s v="BG4-BU4"/>
    <s v="Mainframe"/>
    <s v="Billable"/>
    <s v="Billable"/>
    <n v="100"/>
    <n v="1400"/>
    <n v="1.2195121951219513E-2"/>
    <n v="3073.1707317073174"/>
    <n v="1764204"/>
    <n v="300000"/>
    <n v="1764204"/>
    <n v="300000"/>
    <n v="2000.1976744186047"/>
    <n v="1072.9730572887127"/>
    <n v="0.34914202657807314"/>
    <s v="JD-TCI-BG4-BU4-IT Finance"/>
    <x v="14"/>
    <s v="Rajesh Radhakrishnan Nair"/>
    <s v="Seshakishore Kumar Kollipara"/>
    <s v="Shailendra Gupta"/>
    <s v="Arun Kumar Mishra"/>
    <s v="BG4"/>
    <s v="BG4-BU4"/>
    <n v="9"/>
    <s v="INR"/>
  </r>
  <r>
    <n v="1017232"/>
    <s v="Sneha Laxmikant Damkondwar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775004"/>
    <n v="300000"/>
    <n v="1775004"/>
    <n v="300000"/>
    <n v="2010.6627906976744"/>
    <n v="1721.0445263754966"/>
    <n v="0.46119493844049253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7179"/>
    <s v="Vishal Rajendra Padol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782108"/>
    <n v="300000"/>
    <n v="1782108"/>
    <n v="300000"/>
    <n v="2017.546511627907"/>
    <n v="1714.160805445264"/>
    <n v="0.45935028119775045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09804"/>
    <s v="Pooja Talekar"/>
    <s v="Active"/>
    <s v="Permanent"/>
    <s v="Sr. Tech Lead"/>
    <s v="Rajesh Radhakrishnan Nair"/>
    <s v="BG5"/>
    <s v="BG5-BU12"/>
    <s v="Data &amp; Analytics"/>
    <s v="Billable"/>
    <s v="Billable"/>
    <n v="100"/>
    <n v="1800"/>
    <n v="1.2195121951219513E-2"/>
    <n v="3951.2195121951222"/>
    <n v="1787208"/>
    <n v="300000"/>
    <n v="1787208"/>
    <n v="300000"/>
    <n v="2022.4883720930231"/>
    <n v="1928.7311401020991"/>
    <n v="0.48813565891472877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0804"/>
    <s v="Anas Fakir Mohammed Shaikh"/>
    <s v="Active"/>
    <s v="Permanent"/>
    <s v="Sr. Software Engineer"/>
    <s v="Rajesh Radhakrishnan Nair"/>
    <s v="BG4"/>
    <s v="BG4-BU2"/>
    <s v="Oracle"/>
    <s v="Billable"/>
    <s v="Billable"/>
    <n v="100"/>
    <n v="1800"/>
    <n v="1.2195121951219513E-2"/>
    <n v="3951.2195121951222"/>
    <n v="1795500"/>
    <n v="300000"/>
    <n v="1795500"/>
    <n v="300000"/>
    <n v="2030.5232558139535"/>
    <n v="1920.6962563811687"/>
    <n v="0.48610213896066612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17706"/>
    <s v="Manoj Kumbhkar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800000"/>
    <n v="300000"/>
    <n v="1800000"/>
    <n v="300000"/>
    <n v="2034.8837209302326"/>
    <n v="1696.8235961429384"/>
    <n v="0.45470436236510109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100125"/>
    <s v="Vikram Vinayak Kurade"/>
    <s v="Active"/>
    <s v="Permanent"/>
    <s v="Sr. Software Engineer"/>
    <s v="Nilesh W Bansodkar"/>
    <s v="BG5"/>
    <s v="BG5-BU12"/>
    <s v="Data &amp; Analytics"/>
    <s v="Billable"/>
    <s v="Billable"/>
    <n v="100"/>
    <n v="1800"/>
    <n v="1.2195121951219513E-2"/>
    <n v="3951.2195121951222"/>
    <n v="1800000"/>
    <n v="300000"/>
    <n v="1800000"/>
    <n v="300000"/>
    <n v="2034.8837209302326"/>
    <n v="1916.3357912648896"/>
    <n v="0.48499856445592882"/>
    <s v="JD-TCI-BG4-BU4-Ecommerce"/>
    <x v="10"/>
    <s v="Nilesh W Bansodkar"/>
    <s v="Seshakishore Kumar Kollipara"/>
    <s v="Shailendra Gupta"/>
    <s v="Arun Kumar Mishra"/>
    <s v="BG4"/>
    <s v="BG4-BU4"/>
    <n v="9"/>
    <s v="INR"/>
  </r>
  <r>
    <n v="1101517"/>
    <s v="Nikhil Agrawal"/>
    <s v="Active"/>
    <s v="Permanent"/>
    <s v="Sr. Software Engineer"/>
    <s v="Nilesh W Bansodkar"/>
    <s v="BG5"/>
    <s v="BG5-BU12"/>
    <s v="Data &amp; Analytics"/>
    <s v="Billable"/>
    <s v="Billable"/>
    <n v="100"/>
    <n v="1700"/>
    <n v="1.2195121951219513E-2"/>
    <n v="3731.707317073171"/>
    <n v="1800000"/>
    <n v="300000"/>
    <n v="1800000"/>
    <n v="300000"/>
    <n v="2034.8837209302326"/>
    <n v="1696.8235961429384"/>
    <n v="0.45470436236510109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599"/>
    <s v="Pranesh Subhash Nanoskar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800000"/>
    <n v="300000"/>
    <n v="1800000"/>
    <n v="300000"/>
    <n v="2034.8837209302326"/>
    <n v="1696.8235961429384"/>
    <n v="0.45470436236510109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2115"/>
    <s v="Sneha Balaram Yadav"/>
    <s v="Active"/>
    <s v="Permanent"/>
    <s v="Sr. Software Engineer"/>
    <s v="Nilesh W Bansodkar"/>
    <s v="BG5"/>
    <s v="BG5-BU12"/>
    <s v="Data &amp; Analytics"/>
    <s v="Billable"/>
    <s v="Billable"/>
    <n v="100"/>
    <n v="1700"/>
    <n v="1.2195121951219513E-2"/>
    <n v="3731.707317073171"/>
    <n v="1800000"/>
    <n v="300000"/>
    <n v="1800000"/>
    <n v="300000"/>
    <n v="2034.8837209302326"/>
    <n v="1696.8235961429384"/>
    <n v="0.45470436236510109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01573"/>
    <s v="Deepti Gupta"/>
    <s v="Active"/>
    <s v="Permanent"/>
    <s v="Tech Lead"/>
    <s v="Manish Gupta"/>
    <s v="BG4"/>
    <s v="BG4-BU4"/>
    <s v="Java"/>
    <s v="Billable"/>
    <s v="Billable"/>
    <n v="100"/>
    <n v="2300"/>
    <n v="1.2195121951219513E-2"/>
    <n v="5048.7804878048782"/>
    <n v="1800204"/>
    <n v="300000"/>
    <n v="1800204"/>
    <n v="300000"/>
    <n v="2035.0813953488373"/>
    <n v="3013.6990924560409"/>
    <n v="0.59691624536568921"/>
    <s v="JD-TCI-BG4-BU4-OM"/>
    <x v="9"/>
    <s v="Nilesh W Bansodkar"/>
    <s v="Seshakishore Kumar Kollipara"/>
    <s v="Shailendra Gupta"/>
    <s v="Arun Kumar Mishra"/>
    <s v="BG4"/>
    <s v="BG4-BU4"/>
    <n v="9"/>
    <s v="INR"/>
  </r>
  <r>
    <n v="1004839"/>
    <s v="Santhosh Ambali Kallesh"/>
    <s v="Active"/>
    <s v="Permanent"/>
    <s v="Test Lead"/>
    <s v="Rajesh Radhakrishnan Nair"/>
    <s v="BG4"/>
    <s v="BG4-BU4"/>
    <s v="Testing"/>
    <s v="Billable"/>
    <s v="Billable"/>
    <n v="100"/>
    <n v="1700"/>
    <n v="1.2195121951219513E-2"/>
    <n v="3731.707317073171"/>
    <n v="1809400"/>
    <n v="300000"/>
    <n v="1809400"/>
    <n v="300000"/>
    <n v="2043.9922480620155"/>
    <n v="1687.7150690111555"/>
    <n v="0.4522635152252115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5283"/>
    <s v="Sonal Sharma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810608"/>
    <n v="300000"/>
    <n v="1810608"/>
    <n v="300000"/>
    <n v="2045.1627906976744"/>
    <n v="1686.5445263754966"/>
    <n v="0.45194984040127684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3184"/>
    <s v="Solanki Pooja"/>
    <s v="Resigned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819404"/>
    <n v="300000"/>
    <n v="1819404"/>
    <n v="300000"/>
    <n v="2053.6860465116279"/>
    <n v="1678.0212705615431"/>
    <n v="0.44966583067335464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1795"/>
    <s v="Anvitha Sundar Maindan"/>
    <s v="Active"/>
    <s v="Permanent"/>
    <s v="Sr. Software Engineer"/>
    <s v="Nilesh W Bansodkar"/>
    <s v="BG5"/>
    <s v="BG5-BU6"/>
    <s v="RPA"/>
    <s v="Billable"/>
    <s v="Billable"/>
    <n v="100"/>
    <n v="1600"/>
    <n v="1.2195121951219513E-2"/>
    <n v="3512.1951219512193"/>
    <n v="1825008"/>
    <n v="300000"/>
    <n v="1825008"/>
    <n v="300000"/>
    <n v="2059.1162790697676"/>
    <n v="1453.0788428814517"/>
    <n v="0.41372383720930223"/>
    <s v="JD-TCI-BG4-BU4-R1OF"/>
    <x v="15"/>
    <s v="Nilesh W Bansodkar"/>
    <s v="Seshakishore Kumar Kollipara"/>
    <s v="Shailendra Gupta"/>
    <s v="Arun Kumar Mishra"/>
    <s v="BG4"/>
    <s v="BG4-BU4"/>
    <n v="9"/>
    <s v="INR"/>
  </r>
  <r>
    <n v="1100076"/>
    <s v="Rahul Manohar Mhakave"/>
    <s v="Active"/>
    <s v="Permanent"/>
    <s v="Sr. Software Engineer"/>
    <s v="Nilesh W Bansodkar"/>
    <s v="BG5"/>
    <s v="BG5-BU12"/>
    <s v="Data &amp; Analytics"/>
    <s v="Billable"/>
    <s v="Billable"/>
    <n v="100"/>
    <n v="2100"/>
    <n v="1.2195121951219513E-2"/>
    <n v="4609.7560975609758"/>
    <n v="1850004"/>
    <n v="300000"/>
    <n v="1850004"/>
    <n v="300000"/>
    <n v="2083.3372093023254"/>
    <n v="2526.4188882586504"/>
    <n v="0.54805912390796119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17372"/>
    <s v="Aadesh Mishra"/>
    <s v="Active"/>
    <s v="Permanent"/>
    <s v="Sr. Software Engineer"/>
    <s v="Rajesh Radhakrishnan Nair"/>
    <s v="BG4"/>
    <s v="BG4-BU4"/>
    <s v="Java"/>
    <s v="Billable"/>
    <s v="Billable"/>
    <n v="100"/>
    <n v="1700"/>
    <n v="1.2195121951219513E-2"/>
    <n v="3731.707317073171"/>
    <n v="1870008"/>
    <n v="300000"/>
    <n v="1870008"/>
    <n v="300000"/>
    <n v="2102.7209302325582"/>
    <n v="1628.9863868406128"/>
    <n v="0.43652576379388969"/>
    <s v="JD-TCI-BG4-BU4-PDP"/>
    <x v="3"/>
    <s v="Rajesh Radhakrishnan Nair"/>
    <s v="Seshakishore Kumar Kollipara"/>
    <s v="Shailendra Gupta"/>
    <s v="Arun Kumar Mishra"/>
    <s v="BG4"/>
    <s v="BG4-BU4"/>
    <n v="9"/>
    <s v="INR"/>
  </r>
  <r>
    <n v="1014869"/>
    <s v="Shubham Anil Pawar"/>
    <s v="Active"/>
    <s v="Permanent"/>
    <s v="Sr. Software Engineer"/>
    <s v="Rajesh Radhakrishnan Nair"/>
    <s v="BG4"/>
    <s v="BG4-BU4"/>
    <s v="Java"/>
    <s v="Billable"/>
    <s v="Billable"/>
    <n v="100"/>
    <n v="1800"/>
    <n v="1.2195121951219513E-2"/>
    <n v="3951.2195121951222"/>
    <n v="1890600"/>
    <n v="300000"/>
    <n v="1890600"/>
    <n v="300000"/>
    <n v="2122.6744186046512"/>
    <n v="1828.545093590471"/>
    <n v="0.4627799310938846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07362"/>
    <s v="Anwar Bashirahmad Kudle"/>
    <s v="Active"/>
    <s v="Permanent"/>
    <s v="Sr. Consultant"/>
    <s v="Nilesh W Bansodkar"/>
    <s v="BG5"/>
    <s v="BG5-BU9"/>
    <s v="Core-Infra"/>
    <s v="Billable"/>
    <s v="Billable"/>
    <n v="100"/>
    <n v="1700"/>
    <n v="1.2195121951219513E-2"/>
    <n v="3731.707317073171"/>
    <n v="1891000"/>
    <n v="300000"/>
    <n v="1891000"/>
    <n v="300000"/>
    <n v="2123.062015503876"/>
    <n v="1608.645301569295"/>
    <n v="0.43107488473425548"/>
    <s v="JD-TCI-BG4-BU4-I&amp;O"/>
    <x v="1"/>
    <s v="Nilesh W Bansodkar"/>
    <s v="Seshakishore Kumar Kollipara"/>
    <s v="Shailendra Gupta"/>
    <s v="Arun Kumar Mishra"/>
    <s v="BG4"/>
    <s v="BG4-BU4"/>
    <n v="9"/>
    <s v="INR"/>
  </r>
  <r>
    <n v="1017512"/>
    <s v="Mayur Shivaji Sontale"/>
    <s v="Active"/>
    <s v="Permanent"/>
    <s v="Module Lead"/>
    <s v="Rajesh Radhakrishnan Nair"/>
    <s v="BG4"/>
    <s v="BG4-BU4"/>
    <s v="Java"/>
    <s v="Billable"/>
    <s v="Billable"/>
    <n v="100"/>
    <n v="1800"/>
    <n v="1.2195121951219513E-2"/>
    <n v="3951.2195121951222"/>
    <n v="1899904"/>
    <n v="300000"/>
    <n v="1899904"/>
    <n v="300000"/>
    <n v="2131.6899224806202"/>
    <n v="1819.529589714502"/>
    <n v="0.46049822949564551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08483"/>
    <s v="Deependra Chaudhari"/>
    <s v="Active"/>
    <s v="Permanent"/>
    <s v="Sr. Software Engineer"/>
    <s v="Manish Gupta"/>
    <s v="BG4"/>
    <s v="BG4-BU4"/>
    <s v="Java"/>
    <s v="Billable"/>
    <s v="Billable"/>
    <n v="100"/>
    <n v="1800"/>
    <n v="1.2195121951219513E-2"/>
    <n v="3951.2195121951222"/>
    <n v="1900008"/>
    <n v="300000"/>
    <n v="1900008"/>
    <n v="300000"/>
    <n v="2131.7906976744184"/>
    <n v="1819.4288145207038"/>
    <n v="0.46047272466264721"/>
    <s v="JD-TCI-BG4-BU4-OM"/>
    <x v="9"/>
    <s v="Nilesh W Bansodkar"/>
    <s v="Seshakishore Kumar Kollipara"/>
    <s v="Shailendra Gupta"/>
    <s v="Arun Kumar Mishra"/>
    <s v="BG4"/>
    <s v="BG4-BU4"/>
    <n v="9"/>
    <s v="INR"/>
  </r>
  <r>
    <n v="1101719"/>
    <s v="Akshay Mahadev Ovhal"/>
    <s v="Active"/>
    <s v="Permanent"/>
    <s v="Sr. Software Engineer"/>
    <s v="Rajesh Radhakrishnan Nair"/>
    <s v="BG5"/>
    <s v="BG5-BU12"/>
    <s v="Data &amp; Analytics"/>
    <s v="Billable"/>
    <s v="Billable"/>
    <n v="100"/>
    <n v="1700"/>
    <n v="1.2195121951219513E-2"/>
    <n v="3731.707317073171"/>
    <n v="1900008"/>
    <n v="300000"/>
    <n v="1900008"/>
    <n v="300000"/>
    <n v="2131.7906976744184"/>
    <n v="1599.9166193987526"/>
    <n v="0.42873582611339117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102100"/>
    <s v="Ayush Sharma"/>
    <s v="Active"/>
    <s v="Permanent"/>
    <s v="Sr. Software Engineer"/>
    <s v="Nilesh W Bansodkar"/>
    <s v="BG4"/>
    <s v="BG4-BU4"/>
    <s v="Java"/>
    <s v="Billable"/>
    <s v="Billable"/>
    <n v="100"/>
    <n v="1700"/>
    <n v="1.2195121951219513E-2"/>
    <n v="3731.707317073171"/>
    <n v="1900008"/>
    <n v="300000"/>
    <n v="1900008"/>
    <n v="300000"/>
    <n v="2131.7906976744184"/>
    <n v="1599.9166193987526"/>
    <n v="0.42873582611339117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3294"/>
    <s v="Dhirendra Kumar"/>
    <s v="Active"/>
    <s v="Permanent"/>
    <s v="Sr. Software Engineer"/>
    <s v="Nilesh W Bansodkar"/>
    <s v="BG4"/>
    <s v="BG4-BU4"/>
    <s v="Mainframe"/>
    <s v="Billable"/>
    <s v="Billable"/>
    <n v="100"/>
    <n v="1700"/>
    <n v="1.2195121951219513E-2"/>
    <n v="3731.707317073171"/>
    <n v="1901100"/>
    <n v="300000"/>
    <n v="1901100"/>
    <n v="300000"/>
    <n v="2132.8488372093025"/>
    <n v="1598.8584798638685"/>
    <n v="0.42845227238182093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06133"/>
    <s v="Vishal Sarathe"/>
    <s v="Active"/>
    <s v="Permanent"/>
    <s v="Module Lead"/>
    <s v="Rajesh Radhakrishnan Nair"/>
    <s v="BG4"/>
    <s v="BG4-BU4"/>
    <s v="Java"/>
    <s v="Billable"/>
    <s v="Billable"/>
    <n v="100"/>
    <n v="1800"/>
    <n v="1.2195121951219513E-2"/>
    <n v="3951.2195121951222"/>
    <n v="1938304"/>
    <n v="300000"/>
    <n v="1938304"/>
    <n v="300000"/>
    <n v="2168.8992248062013"/>
    <n v="1782.3202873889209"/>
    <n v="0.451081060388554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008531"/>
    <s v="Prachi Sanmesh Kale"/>
    <s v="Active"/>
    <s v="Permanent"/>
    <s v="Tech Lead"/>
    <s v="Nilesh W Bansodkar"/>
    <s v="BG4"/>
    <s v="BG4-BU4"/>
    <s v="Java"/>
    <s v="Billable"/>
    <s v="Billable"/>
    <n v="100"/>
    <n v="1800"/>
    <n v="1.2195121951219513E-2"/>
    <n v="3951.2195121951222"/>
    <n v="1948508"/>
    <n v="300000"/>
    <n v="1948508"/>
    <n v="300000"/>
    <n v="2178.7868217054265"/>
    <n v="1772.4326904896957"/>
    <n v="0.44857864388936741"/>
    <s v="JD-TCI-BG4-BU4-I&amp;O"/>
    <x v="1"/>
    <s v="Nilesh W Bansodkar"/>
    <s v="Seshakishore Kumar Kollipara"/>
    <s v="Shailendra Gupta"/>
    <s v="Arun Kumar Mishra"/>
    <s v="BG4"/>
    <s v="BG4-BU4"/>
    <n v="9"/>
    <s v="INR"/>
  </r>
  <r>
    <n v="1101327"/>
    <s v="Akshay Mangal Ramteke"/>
    <s v="Active"/>
    <s v="Permanent"/>
    <s v="UI Lead"/>
    <s v="Rajesh Radhakrishnan Nair"/>
    <s v="BG5"/>
    <s v="BG5-BU1"/>
    <s v="User Interface (UI)"/>
    <s v="Billable"/>
    <s v="Billable"/>
    <n v="100"/>
    <n v="1800"/>
    <n v="1.2195121951219513E-2"/>
    <n v="3951.2195121951222"/>
    <n v="1950000"/>
    <n v="300000"/>
    <n v="1950000"/>
    <n v="300000"/>
    <n v="2180.2325581395348"/>
    <n v="1770.9869540555874"/>
    <n v="0.44821274763135233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101374"/>
    <s v="Kshitiz Kothari"/>
    <s v="Active"/>
    <s v="Permanent"/>
    <s v="Sr. Software Engineer"/>
    <s v="Nilesh W Bansodkar"/>
    <s v="BG5"/>
    <s v="BG5-BU12"/>
    <s v="Data &amp; Analytics"/>
    <s v="Billable"/>
    <s v="Billable"/>
    <n v="100"/>
    <n v="1800"/>
    <n v="1.2195121951219513E-2"/>
    <n v="3951.2195121951222"/>
    <n v="2000004"/>
    <n v="300000"/>
    <n v="2000004"/>
    <n v="300000"/>
    <n v="2228.6860465116279"/>
    <n v="1722.5334656834943"/>
    <n v="0.4359498277347115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5273"/>
    <s v="Sumit Kumar"/>
    <s v="Active"/>
    <s v="Permanent"/>
    <s v="Module Lead"/>
    <s v="Nilesh W Bansodkar"/>
    <s v="BG4"/>
    <s v="BG4-BU4"/>
    <s v="Java"/>
    <s v="Billable"/>
    <s v="Billable"/>
    <n v="100"/>
    <n v="1800"/>
    <n v="1.2195121951219513E-2"/>
    <n v="3951.2195121951222"/>
    <n v="2003500"/>
    <n v="300000"/>
    <n v="2003500"/>
    <n v="300000"/>
    <n v="2232.0736434108526"/>
    <n v="1719.1458687842696"/>
    <n v="0.43509247296392006"/>
    <s v="JD-TCI-BG4-BU4-Ecommerce"/>
    <x v="10"/>
    <s v="Nilesh W Bansodkar"/>
    <s v="Seshakishore Kumar Kollipara"/>
    <s v="Shailendra Gupta"/>
    <s v="Arun Kumar Mishra"/>
    <s v="BG4"/>
    <s v="BG4-BU4"/>
    <n v="9"/>
    <s v="INR"/>
  </r>
  <r>
    <n v="1009947"/>
    <s v="Mukundgari Shivaji Rao"/>
    <s v="Active"/>
    <s v="Permanent"/>
    <s v="Sr. Software Engineer"/>
    <s v="Nilesh W Bansodkar"/>
    <s v="BG4"/>
    <s v="BG4-BU4"/>
    <s v="Java"/>
    <s v="Billable"/>
    <s v="Billable"/>
    <n v="100"/>
    <n v="2100"/>
    <n v="1.2195121951219513E-2"/>
    <n v="4609.7560975609758"/>
    <n v="2038404"/>
    <n v="300000"/>
    <n v="2038404"/>
    <n v="300000"/>
    <n v="2265.8953488372094"/>
    <n v="2343.8607487237664"/>
    <n v="0.5084565645379598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7492"/>
    <s v="Shah Vatsal Dharmendra"/>
    <s v="Active"/>
    <s v="Permanent"/>
    <s v="Sr. Software Engineer"/>
    <s v="Nilesh W Bansodkar"/>
    <s v="BG5"/>
    <s v="BG5-BU10"/>
    <s v="EmbeddedSystem_FA_IoT"/>
    <s v="Billable"/>
    <s v="Billable"/>
    <n v="100"/>
    <n v="1800"/>
    <n v="1.2195121951219513E-2"/>
    <n v="3951.2195121951222"/>
    <n v="2075004"/>
    <n v="300000"/>
    <n v="2075004"/>
    <n v="300000"/>
    <n v="2301.3604651162791"/>
    <n v="1649.8590470788431"/>
    <n v="0.4175569193224232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0752"/>
    <s v="Priti Subhash Naik"/>
    <s v="Active"/>
    <s v="Permanent"/>
    <s v="Consultant"/>
    <s v="Nilesh W Bansodkar"/>
    <s v="BG5"/>
    <s v="BG5-BU15"/>
    <s v="ServiceNow"/>
    <s v="Billable"/>
    <s v="Billable"/>
    <n v="100"/>
    <n v="1800"/>
    <n v="1.2195121951219513E-2"/>
    <n v="3951.2195121951222"/>
    <n v="2100000"/>
    <n v="300000"/>
    <n v="2100000"/>
    <n v="300000"/>
    <n v="2325.5813953488373"/>
    <n v="1625.6381168462849"/>
    <n v="0.41142693080677578"/>
    <s v="JD-TCI-BG4-BU4-I&amp;O"/>
    <x v="1"/>
    <s v="Nilesh W Bansodkar"/>
    <s v="Seshakishore Kumar Kollipara"/>
    <s v="Shailendra Gupta"/>
    <s v="Arun Kumar Mishra"/>
    <s v="BG4"/>
    <s v="BG4-BU4"/>
    <n v="9"/>
    <s v="INR"/>
  </r>
  <r>
    <n v="1013920"/>
    <s v="Abhishek Rai"/>
    <s v="Active"/>
    <s v="Permanent"/>
    <s v="Module Lead"/>
    <s v="Rajesh Radhakrishnan Nair"/>
    <s v="BG4"/>
    <s v="BG4-BU4"/>
    <s v="Java"/>
    <s v="Billable"/>
    <s v="Billable"/>
    <n v="100"/>
    <n v="2100"/>
    <n v="1.2195121951219513E-2"/>
    <n v="4609.7560975609758"/>
    <n v="2110700"/>
    <n v="300000"/>
    <n v="2110700"/>
    <n v="300000"/>
    <n v="2335.9496124031007"/>
    <n v="2273.8064851578752"/>
    <n v="0.49325960789139089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09912"/>
    <s v="Rohit Patel"/>
    <s v="Active"/>
    <s v="Permanent"/>
    <s v="Tech Lead"/>
    <s v="Nilesh W Bansodkar"/>
    <s v="BG4"/>
    <s v="BG4-BU4"/>
    <s v="Java"/>
    <s v="Billable"/>
    <s v="Billable"/>
    <n v="100"/>
    <n v="1800"/>
    <n v="1.2195121951219513E-2"/>
    <n v="3951.2195121951222"/>
    <n v="2180108"/>
    <n v="300000"/>
    <n v="2180108"/>
    <n v="300000"/>
    <n v="2403.2054263565892"/>
    <n v="1548.014085838533"/>
    <n v="0.39178134271222131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0016"/>
    <s v="Onkar Sudhir Kulkarni"/>
    <s v="Active"/>
    <s v="Permanent"/>
    <s v="Module Lead"/>
    <s v="Nilesh W Bansodkar"/>
    <s v="BG4"/>
    <s v="BG4-BU4"/>
    <s v="Java"/>
    <s v="Billable"/>
    <s v="Billable"/>
    <n v="100"/>
    <n v="2100"/>
    <n v="1.2195121951219513E-2"/>
    <n v="4609.7560975609758"/>
    <n v="2194308"/>
    <n v="300000"/>
    <n v="2194308"/>
    <n v="300000"/>
    <n v="2416.9651162790697"/>
    <n v="2192.7909812819062"/>
    <n v="0.4756848160452812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014"/>
    <s v="Nishant Ramchandra Kamble"/>
    <s v="Active"/>
    <s v="Permanent"/>
    <s v="Sr. Tech Lead"/>
    <s v="Nilesh W Bansodkar"/>
    <s v="BG4"/>
    <s v="BG4-BU4"/>
    <s v="Java"/>
    <s v="Billable"/>
    <s v="Billable"/>
    <n v="100"/>
    <n v="2100"/>
    <n v="1.2195121951219513E-2"/>
    <n v="4609.7560975609758"/>
    <n v="2200000"/>
    <n v="300000"/>
    <n v="2200000"/>
    <n v="300000"/>
    <n v="2422.4806201550387"/>
    <n v="2187.2754774059372"/>
    <n v="0.4744883310774784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3974"/>
    <s v="Devendra Kishor Hirulkar"/>
    <s v="Active"/>
    <s v="Permanent"/>
    <s v="UI Lead"/>
    <s v="Nilesh W Bansodkar"/>
    <s v="BG5"/>
    <s v="BG5-BU1"/>
    <s v="User Interface (UI)"/>
    <s v="Billable"/>
    <s v="Billable"/>
    <n v="100"/>
    <n v="2100"/>
    <n v="1.2195121951219513E-2"/>
    <n v="4609.7560975609758"/>
    <n v="2272000"/>
    <n v="300000"/>
    <n v="2272000"/>
    <n v="300000"/>
    <n v="2492.2480620155038"/>
    <n v="2117.508035545472"/>
    <n v="0.45935359501250977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4143"/>
    <s v="Rohit Khandelwal"/>
    <s v="Resigned"/>
    <s v="Permanent"/>
    <s v="UI Lead"/>
    <s v="Nilesh W Bansodkar"/>
    <s v="BG5"/>
    <s v="BG5-BU1"/>
    <s v="User Interface (UI)"/>
    <s v="Billable"/>
    <s v="Billable"/>
    <n v="100"/>
    <n v="2100"/>
    <n v="1.2195121951219513E-2"/>
    <n v="4609.7560975609758"/>
    <n v="2275008"/>
    <n v="300000"/>
    <n v="2275008"/>
    <n v="300000"/>
    <n v="2495.1627906976746"/>
    <n v="2114.5933068633012"/>
    <n v="0.45872129937246214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03687"/>
    <s v="Praveen Reddy Anumula"/>
    <s v="Active"/>
    <s v="Permanent"/>
    <s v="Tech Lead"/>
    <s v="Nilesh W Bansodkar"/>
    <s v="BG4"/>
    <s v="BG4-BU4"/>
    <s v="Java"/>
    <s v="Billable"/>
    <s v="Billable"/>
    <n v="100"/>
    <n v="2000"/>
    <n v="1.2195121951219513E-2"/>
    <n v="4390.2439024390242"/>
    <n v="2300000"/>
    <n v="300000"/>
    <n v="2300000"/>
    <n v="300000"/>
    <n v="2519.3798449612405"/>
    <n v="1870.8640574777837"/>
    <n v="0.42614125753660631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276"/>
    <s v="Harshal Ganesh Patil"/>
    <s v="Active"/>
    <s v="Permanent"/>
    <s v="Module Lead"/>
    <s v="Rajesh Radhakrishnan Nair"/>
    <s v="BG5"/>
    <s v="BG5-BU12"/>
    <s v="Data &amp; Analytics"/>
    <s v="Billable"/>
    <s v="Billable"/>
    <n v="100"/>
    <n v="1800"/>
    <n v="1.2195121951219513E-2"/>
    <n v="3951.2195121951222"/>
    <n v="2300000"/>
    <n v="300000"/>
    <n v="2300000"/>
    <n v="300000"/>
    <n v="2519.3798449612405"/>
    <n v="1431.8396672338818"/>
    <n v="0.36237917504067374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0831"/>
    <s v="Prabhat Chandra Shukla"/>
    <s v="Active"/>
    <s v="Permanent"/>
    <s v="Sr. Data Scientist"/>
    <s v="Nilesh W Bansodkar"/>
    <s v="BG5"/>
    <s v="BG5-BU14"/>
    <s v="Data Science &amp; AI"/>
    <s v="Billable"/>
    <s v="Billable"/>
    <n v="100"/>
    <n v="2000"/>
    <n v="1.2195121951219513E-2"/>
    <n v="4390.2439024390242"/>
    <n v="2350000"/>
    <n v="300000"/>
    <n v="2350000"/>
    <n v="300000"/>
    <n v="2567.8294573643411"/>
    <n v="1822.414445074683"/>
    <n v="0.41510551248923339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06932"/>
    <s v="Vikram Karan Pingale"/>
    <s v="Active"/>
    <s v="Permanent"/>
    <s v="Test Lead"/>
    <s v="Rajesh Radhakrishnan Nair"/>
    <s v="BG4"/>
    <s v="BG4-BU4"/>
    <s v="Testing"/>
    <s v="Billable"/>
    <s v="Billable"/>
    <n v="100"/>
    <n v="2000"/>
    <n v="1.2195121951219513E-2"/>
    <n v="4390.2439024390242"/>
    <n v="2400000"/>
    <n v="300000"/>
    <n v="2400000"/>
    <n v="300000"/>
    <n v="2616.2790697674418"/>
    <n v="1773.9648326715824"/>
    <n v="0.40406976744186046"/>
    <s v="JD-TCI-BG4-BU4-ISG"/>
    <x v="12"/>
    <s v="Rajesh Radhakrishnan Nair"/>
    <s v="Seshakishore Kumar Kollipara"/>
    <s v="Shailendra Gupta"/>
    <s v="Arun Kumar Mishra"/>
    <s v="BG4"/>
    <s v="BG4-BU4"/>
    <n v="9"/>
    <s v="INR"/>
  </r>
  <r>
    <n v="1101722"/>
    <s v="Snehal Bhimrao Tapare"/>
    <s v="Active"/>
    <s v="Permanent"/>
    <s v="Sr. Consultant"/>
    <s v="Rajesh Radhakrishnan Nair"/>
    <s v="BG5"/>
    <s v="BG5-BU11"/>
    <s v="Microsoft"/>
    <s v="Billable"/>
    <s v="Billable"/>
    <n v="100"/>
    <n v="2100"/>
    <n v="1.2195121951219513E-2"/>
    <n v="4609.7560975609758"/>
    <n v="2400000"/>
    <n v="300000"/>
    <n v="2400000"/>
    <n v="300000"/>
    <n v="2616.2790697674418"/>
    <n v="1993.477027793534"/>
    <n v="0.43244739756367667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1228"/>
    <s v="Yashas N Y"/>
    <s v="Active"/>
    <s v="Permanent"/>
    <s v="Module Lead"/>
    <s v="Nilesh W Bansodkar"/>
    <s v="BG4"/>
    <s v="BG4-BU4"/>
    <s v="Mainframe"/>
    <s v="Billable"/>
    <s v="Billable"/>
    <n v="100"/>
    <n v="2100"/>
    <n v="1.2195121951219513E-2"/>
    <n v="4609.7560975609758"/>
    <n v="2400804"/>
    <n v="300000"/>
    <n v="2400804"/>
    <n v="300000"/>
    <n v="2617.0581395348836"/>
    <n v="1992.6979580260922"/>
    <n v="0.43227839301095122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014547"/>
    <s v="Nirmal Kumar"/>
    <s v="Active"/>
    <s v="Permanent"/>
    <s v="Module Lead"/>
    <s v="Nilesh W Bansodkar"/>
    <s v="BG4"/>
    <s v="BG4-BU4"/>
    <s v="Java"/>
    <s v="Billable"/>
    <s v="Billable"/>
    <n v="100"/>
    <n v="2100"/>
    <n v="1.2195121951219513E-2"/>
    <n v="4609.7560975609758"/>
    <n v="2468904"/>
    <n v="300000"/>
    <n v="2468904"/>
    <n v="300000"/>
    <n v="2683.046511627907"/>
    <n v="1926.7095859330689"/>
    <n v="0.41796345514950167"/>
    <s v="JD-TCI-BG4-BU4-PDC"/>
    <x v="7"/>
    <s v="Nilesh W Bansodkar"/>
    <s v="Seshakishore Kumar Kollipara"/>
    <s v="Shailendra Gupta"/>
    <s v="Arun Kumar Mishra"/>
    <s v="BG4"/>
    <s v="BG4-BU4"/>
    <n v="9"/>
    <s v="INR"/>
  </r>
  <r>
    <n v="1100996"/>
    <s v="Shambhawi Shrivastva"/>
    <s v="Active"/>
    <s v="Permanent"/>
    <s v="Module Lead"/>
    <s v="Rajesh Radhakrishnan Nair"/>
    <s v="BG4"/>
    <s v="BG4-BU4"/>
    <s v="Microsoft"/>
    <s v="Billable"/>
    <s v="Billable"/>
    <n v="100"/>
    <n v="2100"/>
    <n v="1.2195121951219513E-2"/>
    <n v="4609.7560975609758"/>
    <n v="2500000"/>
    <n v="300000"/>
    <n v="2500000"/>
    <n v="300000"/>
    <n v="2713.1782945736436"/>
    <n v="1896.5778029873322"/>
    <n v="0.41142693080677578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00110"/>
    <s v="Jai Kumar Gadoeya"/>
    <s v="Active"/>
    <s v="Permanent"/>
    <s v="Sr. Tech Lead"/>
    <s v="Manish Gupta"/>
    <s v="BG4"/>
    <s v="BG4-BU4"/>
    <s v="Java"/>
    <s v="Billable"/>
    <s v="Billable"/>
    <n v="100"/>
    <n v="2100"/>
    <n v="1.2195121951219513E-2"/>
    <n v="4609.7560975609758"/>
    <n v="2500000"/>
    <n v="300000"/>
    <n v="2500000"/>
    <n v="300000"/>
    <n v="2713.1782945736436"/>
    <n v="1896.5778029873322"/>
    <n v="0.41142693080677578"/>
    <s v="JD-TCI-BG4-BU4-D&amp;A"/>
    <x v="6"/>
    <s v="Nilesh W Bansodkar"/>
    <s v="Seshakishore Kumar Kollipara"/>
    <s v="Shailendra Gupta"/>
    <s v="Arun Kumar Mishra"/>
    <s v="BG4"/>
    <s v="BG4-BU4"/>
    <n v="9"/>
    <s v="INR"/>
  </r>
  <r>
    <n v="1000335"/>
    <s v="Pavan Kumar Dasari"/>
    <s v="Active"/>
    <s v="Permanent"/>
    <s v="Sr. Tech Lead"/>
    <s v="Rajesh Radhakrishnan Nair"/>
    <s v="BG4"/>
    <s v="BG4-BU4"/>
    <s v="Content Management System (CMS)"/>
    <s v="Billable"/>
    <s v="Billable"/>
    <n v="100"/>
    <n v="2100"/>
    <n v="1.2195121951219513E-2"/>
    <n v="4609.7560975609758"/>
    <n v="2567604"/>
    <n v="300000"/>
    <n v="2567604"/>
    <n v="300000"/>
    <n v="2778.6860465116279"/>
    <n v="1831.070051049348"/>
    <n v="0.39721625446044057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05523"/>
    <s v="Avkash Mandloi"/>
    <s v="Active"/>
    <s v="Permanent"/>
    <s v="Associate Technical Architect"/>
    <s v="Nilesh W Bansodkar"/>
    <s v="BG5"/>
    <s v="BG5-BU1"/>
    <s v="User Interface (UI)"/>
    <s v="Billable"/>
    <s v="Billable"/>
    <n v="100"/>
    <n v="2100"/>
    <n v="1.2195121951219513E-2"/>
    <n v="4609.7560975609758"/>
    <n v="2602408"/>
    <n v="300000"/>
    <n v="2602408"/>
    <n v="300000"/>
    <n v="2812.4108527131784"/>
    <n v="1797.3452448477974"/>
    <n v="0.38990029121036873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010965"/>
    <s v="Titash Roy"/>
    <s v="Active"/>
    <s v="Permanent"/>
    <s v="Tech Lead"/>
    <s v="Rajesh Radhakrishnan Nair"/>
    <s v="BG4"/>
    <s v="BG4-BU4"/>
    <s v="Java"/>
    <s v="Billable"/>
    <s v="Billable"/>
    <n v="100"/>
    <n v="2100"/>
    <n v="1.2195121951219513E-2"/>
    <n v="4609.7560975609758"/>
    <n v="2693900"/>
    <n v="300000"/>
    <n v="2693900"/>
    <n v="300000"/>
    <n v="2901.0658914728683"/>
    <n v="1708.6902060881075"/>
    <n v="0.37066824576514501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15712"/>
    <s v="Ajeet Kumar Gupta"/>
    <s v="Active"/>
    <s v="Permanent"/>
    <s v="Module Lead"/>
    <s v="Rajesh Radhakrishnan Nair"/>
    <s v="BG4"/>
    <s v="BG4-BU4"/>
    <s v="Java"/>
    <s v="Billable"/>
    <s v="Billable"/>
    <n v="100"/>
    <n v="2100"/>
    <n v="1.2195121951219513E-2"/>
    <n v="4609.7560975609758"/>
    <n v="2784800"/>
    <n v="300000"/>
    <n v="2784800"/>
    <n v="300000"/>
    <n v="2989.1472868217056"/>
    <n v="1620.6088107392702"/>
    <n v="0.3515606414831221"/>
    <s v="JD-TCI-BG4-BU4-CAP"/>
    <x v="0"/>
    <s v="Rajesh Radhakrishnan Nair"/>
    <s v="Seshakishore Kumar Kollipara"/>
    <s v="Shailendra Gupta"/>
    <s v="Arun Kumar Mishra"/>
    <s v="BG4"/>
    <s v="BG4-BU4"/>
    <n v="9"/>
    <s v="INR"/>
  </r>
  <r>
    <n v="1014173"/>
    <s v="Manuja Ashok Kshirsagar"/>
    <s v="Active"/>
    <s v="Permanent"/>
    <s v="Project Manager"/>
    <s v="Rajesh Radhakrishnan Nair"/>
    <s v="BG5"/>
    <s v="BG5-BU1"/>
    <s v="Agile Consulting"/>
    <s v="Billable"/>
    <s v="Billable"/>
    <n v="100"/>
    <n v="1800"/>
    <n v="1.2195121951219513E-2"/>
    <n v="3951.2195121951222"/>
    <n v="2785000"/>
    <n v="300000"/>
    <n v="2785000"/>
    <n v="300000"/>
    <n v="2989.3410852713178"/>
    <n v="961.87842692380445"/>
    <n v="0.24343836730787641"/>
    <s v="JD-TCI-BG4-BU4-CPS"/>
    <x v="2"/>
    <s v="Nilesh W Bansodkar"/>
    <s v="Seshakishore Kumar Kollipara"/>
    <s v="Shailendra Gupta"/>
    <s v="Arun Kumar Mishra"/>
    <s v="BG4"/>
    <s v="BG4-BU4"/>
    <n v="9"/>
    <s v="INR"/>
  </r>
  <r>
    <n v="1101611"/>
    <s v="Prabin Kumar Baitharu"/>
    <s v="Active"/>
    <s v="Permanent"/>
    <s v="Sr. Consultant"/>
    <s v="Nilesh W Bansodkar"/>
    <s v="BG5"/>
    <s v="BG5-BU15"/>
    <s v="ServiceNow"/>
    <s v="Billable"/>
    <s v="Billable"/>
    <n v="100"/>
    <n v="2100"/>
    <n v="1.2195121951219513E-2"/>
    <n v="4609.7560975609758"/>
    <n v="2800000"/>
    <n v="300000"/>
    <n v="2800000"/>
    <n v="300000"/>
    <n v="3003.8759689922481"/>
    <n v="1605.8801285687277"/>
    <n v="0.34836553053607322"/>
    <s v="JD-TCI-BG4-BU4-I&amp;O"/>
    <x v="1"/>
    <s v="Nilesh W Bansodkar"/>
    <s v="Seshakishore Kumar Kollipara"/>
    <s v="Shailendra Gupta"/>
    <s v="Arun Kumar Mishra"/>
    <s v="BG4"/>
    <s v="BG4-BU4"/>
    <n v="9"/>
    <s v="INR"/>
  </r>
  <r>
    <n v="1011045"/>
    <s v="Virendra ."/>
    <s v="Active"/>
    <s v="Permanent"/>
    <s v="Tech Lead"/>
    <s v="Rajesh Radhakrishnan Nair"/>
    <s v="BG4"/>
    <s v="BG4-BU4"/>
    <s v="Java"/>
    <s v="Billable"/>
    <s v="Billable"/>
    <n v="100"/>
    <n v="2100"/>
    <n v="1.2195121951219513E-2"/>
    <n v="4609.7560975609758"/>
    <n v="2861008"/>
    <n v="300000"/>
    <n v="2861008"/>
    <n v="300000"/>
    <n v="3062.9922480620153"/>
    <n v="1546.7638494989606"/>
    <n v="0.33554136417702318"/>
    <s v="JD-TCI-BG4-BU4-JDF"/>
    <x v="5"/>
    <s v="Rajesh Radhakrishnan Nair"/>
    <s v="Seshakishore Kumar Kollipara"/>
    <s v="Shailendra Gupta"/>
    <s v="Arun Kumar Mishra"/>
    <s v="BG4"/>
    <s v="BG4-BU4"/>
    <n v="9"/>
    <s v="INR"/>
  </r>
  <r>
    <n v="1000111"/>
    <s v="Madhu Smitha"/>
    <m/>
    <m/>
    <m/>
    <m/>
    <m/>
    <m/>
    <s v="SAP"/>
    <m/>
    <m/>
    <m/>
    <m/>
    <m/>
    <m/>
    <m/>
    <m/>
    <m/>
    <m/>
    <m/>
    <m/>
    <n v="0.42911904761904762"/>
    <m/>
    <x v="14"/>
    <m/>
    <m/>
    <m/>
    <m/>
    <m/>
    <m/>
    <m/>
    <m/>
  </r>
  <r>
    <n v="1009797"/>
    <s v="Vivek Anaskar"/>
    <m/>
    <m/>
    <m/>
    <m/>
    <m/>
    <m/>
    <s v="SAP"/>
    <m/>
    <m/>
    <m/>
    <m/>
    <m/>
    <m/>
    <m/>
    <m/>
    <m/>
    <m/>
    <m/>
    <m/>
    <n v="0.30933333333333335"/>
    <m/>
    <x v="16"/>
    <m/>
    <m/>
    <m/>
    <m/>
    <m/>
    <m/>
    <m/>
    <m/>
  </r>
  <r>
    <n v="1601237"/>
    <s v="Akshay Upalekar"/>
    <m/>
    <m/>
    <m/>
    <m/>
    <m/>
    <m/>
    <s v="SAP"/>
    <m/>
    <m/>
    <m/>
    <m/>
    <m/>
    <m/>
    <m/>
    <m/>
    <m/>
    <m/>
    <m/>
    <m/>
    <n v="0.33333333333333331"/>
    <m/>
    <x v="7"/>
    <m/>
    <m/>
    <m/>
    <m/>
    <m/>
    <m/>
    <m/>
    <m/>
  </r>
  <r>
    <n v="1005949"/>
    <s v="B Sreedhar Reddy"/>
    <m/>
    <m/>
    <m/>
    <m/>
    <m/>
    <m/>
    <s v="SAP"/>
    <m/>
    <m/>
    <m/>
    <m/>
    <m/>
    <m/>
    <m/>
    <m/>
    <m/>
    <m/>
    <m/>
    <m/>
    <n v="0.28000000000000003"/>
    <m/>
    <x v="7"/>
    <m/>
    <m/>
    <m/>
    <m/>
    <m/>
    <m/>
    <m/>
    <m/>
  </r>
  <r>
    <n v="1012709"/>
    <s v="Kovvuru Chandra Reddy"/>
    <m/>
    <m/>
    <m/>
    <m/>
    <m/>
    <m/>
    <s v="SAP"/>
    <m/>
    <m/>
    <m/>
    <m/>
    <m/>
    <m/>
    <m/>
    <m/>
    <m/>
    <m/>
    <m/>
    <m/>
    <n v="0.6388571428571429"/>
    <m/>
    <x v="7"/>
    <m/>
    <m/>
    <m/>
    <m/>
    <m/>
    <m/>
    <m/>
    <m/>
  </r>
  <r>
    <n v="1005201"/>
    <s v="Vijaya Ganapa"/>
    <m/>
    <m/>
    <m/>
    <m/>
    <m/>
    <m/>
    <s v="SAP"/>
    <m/>
    <m/>
    <m/>
    <m/>
    <m/>
    <m/>
    <m/>
    <m/>
    <m/>
    <m/>
    <m/>
    <m/>
    <n v="0.5471111111111111"/>
    <m/>
    <x v="16"/>
    <m/>
    <m/>
    <m/>
    <m/>
    <m/>
    <m/>
    <m/>
    <m/>
  </r>
  <r>
    <n v="1012589"/>
    <s v="Sowjanya Parthasarathi"/>
    <m/>
    <m/>
    <m/>
    <m/>
    <m/>
    <m/>
    <s v="SAP"/>
    <m/>
    <m/>
    <m/>
    <m/>
    <m/>
    <m/>
    <m/>
    <m/>
    <m/>
    <m/>
    <m/>
    <m/>
    <n v="0.18699186991869918"/>
    <m/>
    <x v="8"/>
    <m/>
    <m/>
    <m/>
    <m/>
    <m/>
    <m/>
    <m/>
    <m/>
  </r>
  <r>
    <n v="1012968"/>
    <s v="Narasimha Reddy Kanubuddi"/>
    <m/>
    <m/>
    <m/>
    <m/>
    <m/>
    <m/>
    <s v="SAP"/>
    <m/>
    <m/>
    <m/>
    <m/>
    <m/>
    <m/>
    <m/>
    <m/>
    <m/>
    <m/>
    <m/>
    <m/>
    <n v="0.54552777777777772"/>
    <m/>
    <x v="8"/>
    <m/>
    <m/>
    <m/>
    <m/>
    <m/>
    <m/>
    <m/>
    <m/>
  </r>
  <r>
    <n v="1014344"/>
    <s v="Sathi Manikanta Ramareddy"/>
    <m/>
    <m/>
    <m/>
    <m/>
    <m/>
    <m/>
    <s v="SAP"/>
    <m/>
    <m/>
    <m/>
    <m/>
    <m/>
    <m/>
    <m/>
    <m/>
    <m/>
    <m/>
    <m/>
    <m/>
    <n v="0.72985294117647059"/>
    <m/>
    <x v="7"/>
    <m/>
    <m/>
    <m/>
    <m/>
    <m/>
    <m/>
    <m/>
    <m/>
  </r>
  <r>
    <n v="1601466"/>
    <s v="Sreedevi Varahala"/>
    <m/>
    <m/>
    <m/>
    <m/>
    <m/>
    <m/>
    <s v="SAP"/>
    <m/>
    <m/>
    <m/>
    <m/>
    <m/>
    <m/>
    <m/>
    <m/>
    <m/>
    <m/>
    <m/>
    <m/>
    <n v="0.43181818181818182"/>
    <m/>
    <x v="7"/>
    <m/>
    <m/>
    <m/>
    <m/>
    <m/>
    <m/>
    <m/>
    <m/>
  </r>
  <r>
    <n v="1600057"/>
    <s v="Afsar Mohammad"/>
    <m/>
    <m/>
    <m/>
    <m/>
    <m/>
    <m/>
    <s v="SAP"/>
    <m/>
    <m/>
    <m/>
    <m/>
    <m/>
    <m/>
    <m/>
    <m/>
    <m/>
    <m/>
    <m/>
    <m/>
    <n v="0.45508333333333334"/>
    <m/>
    <x v="7"/>
    <m/>
    <m/>
    <m/>
    <m/>
    <m/>
    <m/>
    <m/>
    <m/>
  </r>
  <r>
    <n v="1601535"/>
    <s v="Yanamadala Sasidhar"/>
    <m/>
    <m/>
    <m/>
    <m/>
    <m/>
    <m/>
    <s v="SAP"/>
    <m/>
    <m/>
    <m/>
    <m/>
    <m/>
    <m/>
    <m/>
    <m/>
    <m/>
    <m/>
    <m/>
    <m/>
    <n v="0.25531914893617019"/>
    <m/>
    <x v="7"/>
    <m/>
    <m/>
    <m/>
    <m/>
    <m/>
    <m/>
    <m/>
    <m/>
  </r>
  <r>
    <n v="1013812"/>
    <s v="Jeshwant Kolan "/>
    <m/>
    <m/>
    <m/>
    <m/>
    <m/>
    <m/>
    <s v="SAP"/>
    <m/>
    <m/>
    <m/>
    <m/>
    <m/>
    <m/>
    <m/>
    <m/>
    <m/>
    <m/>
    <m/>
    <m/>
    <n v="0.43771428571428572"/>
    <m/>
    <x v="14"/>
    <m/>
    <m/>
    <m/>
    <m/>
    <m/>
    <m/>
    <m/>
    <m/>
  </r>
  <r>
    <n v="1004516"/>
    <s v="Bhaskar Yellamanchili"/>
    <m/>
    <m/>
    <m/>
    <m/>
    <m/>
    <m/>
    <s v="SAP"/>
    <m/>
    <m/>
    <m/>
    <m/>
    <m/>
    <m/>
    <m/>
    <m/>
    <m/>
    <m/>
    <m/>
    <m/>
    <n v="0.49072222222222223"/>
    <m/>
    <x v="16"/>
    <m/>
    <m/>
    <m/>
    <m/>
    <m/>
    <m/>
    <m/>
    <m/>
  </r>
  <r>
    <n v="1016969"/>
    <s v="Venkataraman J"/>
    <m/>
    <m/>
    <m/>
    <m/>
    <m/>
    <m/>
    <s v="SAP"/>
    <m/>
    <m/>
    <m/>
    <m/>
    <m/>
    <m/>
    <m/>
    <m/>
    <m/>
    <m/>
    <m/>
    <m/>
    <n v="0.30238888888888887"/>
    <m/>
    <x v="3"/>
    <m/>
    <m/>
    <m/>
    <m/>
    <m/>
    <m/>
    <m/>
    <m/>
  </r>
  <r>
    <n v="1017777"/>
    <s v="Swati Patil"/>
    <m/>
    <m/>
    <m/>
    <m/>
    <m/>
    <m/>
    <s v="SAP"/>
    <m/>
    <m/>
    <m/>
    <m/>
    <m/>
    <m/>
    <m/>
    <m/>
    <m/>
    <m/>
    <m/>
    <m/>
    <n v="0.39047619047619048"/>
    <m/>
    <x v="2"/>
    <m/>
    <m/>
    <m/>
    <m/>
    <m/>
    <m/>
    <m/>
    <m/>
  </r>
  <r>
    <n v="1601627"/>
    <s v="Sravani A"/>
    <m/>
    <m/>
    <m/>
    <m/>
    <m/>
    <m/>
    <s v="SAP"/>
    <m/>
    <m/>
    <m/>
    <m/>
    <m/>
    <m/>
    <m/>
    <m/>
    <m/>
    <m/>
    <m/>
    <m/>
    <n v="0.30158730158730157"/>
    <m/>
    <x v="8"/>
    <m/>
    <m/>
    <m/>
    <m/>
    <m/>
    <m/>
    <m/>
    <m/>
  </r>
  <r>
    <n v="1601630"/>
    <s v="B Kiran Kumar"/>
    <m/>
    <m/>
    <m/>
    <m/>
    <m/>
    <m/>
    <s v="SAP"/>
    <m/>
    <m/>
    <m/>
    <m/>
    <m/>
    <m/>
    <m/>
    <m/>
    <m/>
    <m/>
    <m/>
    <m/>
    <n v="0.25531914893617019"/>
    <m/>
    <x v="7"/>
    <m/>
    <m/>
    <m/>
    <m/>
    <m/>
    <m/>
    <m/>
    <m/>
  </r>
  <r>
    <n v="1100051"/>
    <s v="Akash Bhutwani"/>
    <m/>
    <m/>
    <m/>
    <m/>
    <m/>
    <m/>
    <s v="SAP"/>
    <m/>
    <m/>
    <m/>
    <m/>
    <m/>
    <m/>
    <m/>
    <m/>
    <m/>
    <m/>
    <m/>
    <m/>
    <n v="0.58811764705882352"/>
    <m/>
    <x v="14"/>
    <m/>
    <m/>
    <m/>
    <m/>
    <m/>
    <m/>
    <m/>
    <m/>
  </r>
  <r>
    <n v="1601656"/>
    <s v="Nagam Rammohan "/>
    <m/>
    <m/>
    <m/>
    <m/>
    <m/>
    <m/>
    <s v="SAP"/>
    <m/>
    <m/>
    <m/>
    <m/>
    <m/>
    <m/>
    <m/>
    <m/>
    <m/>
    <m/>
    <m/>
    <m/>
    <n v="0.22857142857142856"/>
    <m/>
    <x v="7"/>
    <m/>
    <m/>
    <m/>
    <m/>
    <m/>
    <m/>
    <m/>
    <m/>
  </r>
  <r>
    <n v="1601660"/>
    <s v="G Ravi Prasanna"/>
    <m/>
    <m/>
    <m/>
    <m/>
    <m/>
    <m/>
    <s v="SAP"/>
    <m/>
    <m/>
    <m/>
    <m/>
    <m/>
    <m/>
    <m/>
    <m/>
    <m/>
    <m/>
    <m/>
    <m/>
    <n v="0.23529411764705882"/>
    <m/>
    <x v="7"/>
    <m/>
    <m/>
    <m/>
    <m/>
    <m/>
    <m/>
    <m/>
    <m/>
  </r>
  <r>
    <n v="1014265"/>
    <s v="Bojja Prabhanjan "/>
    <m/>
    <m/>
    <m/>
    <m/>
    <m/>
    <m/>
    <s v="SAP"/>
    <m/>
    <m/>
    <m/>
    <m/>
    <m/>
    <m/>
    <m/>
    <m/>
    <m/>
    <m/>
    <m/>
    <m/>
    <n v="0.73169444444444443"/>
    <m/>
    <x v="7"/>
    <m/>
    <m/>
    <m/>
    <m/>
    <m/>
    <m/>
    <m/>
    <m/>
  </r>
  <r>
    <n v="1601741"/>
    <s v="Keerthana K"/>
    <m/>
    <m/>
    <m/>
    <m/>
    <m/>
    <m/>
    <s v="SAP"/>
    <m/>
    <m/>
    <m/>
    <m/>
    <m/>
    <m/>
    <m/>
    <m/>
    <m/>
    <m/>
    <m/>
    <m/>
    <n v="0.33333333333333331"/>
    <m/>
    <x v="7"/>
    <m/>
    <m/>
    <m/>
    <m/>
    <m/>
    <m/>
    <m/>
    <m/>
  </r>
  <r>
    <n v="1015679"/>
    <s v="Manisha Velivela "/>
    <m/>
    <m/>
    <m/>
    <m/>
    <m/>
    <m/>
    <s v="SAP"/>
    <m/>
    <m/>
    <m/>
    <m/>
    <m/>
    <m/>
    <m/>
    <m/>
    <m/>
    <m/>
    <m/>
    <m/>
    <n v="0.63804166666666662"/>
    <m/>
    <x v="7"/>
    <m/>
    <m/>
    <m/>
    <m/>
    <m/>
    <m/>
    <m/>
    <m/>
  </r>
  <r>
    <n v="1008331"/>
    <s v="Nischala Boppa"/>
    <m/>
    <m/>
    <m/>
    <m/>
    <m/>
    <m/>
    <s v="SAP"/>
    <m/>
    <m/>
    <m/>
    <m/>
    <m/>
    <m/>
    <m/>
    <m/>
    <m/>
    <m/>
    <m/>
    <m/>
    <n v="0.44203571428571431"/>
    <m/>
    <x v="7"/>
    <m/>
    <m/>
    <m/>
    <m/>
    <m/>
    <m/>
    <m/>
    <m/>
  </r>
  <r>
    <n v="1602021"/>
    <s v="Rajini Duggirala"/>
    <m/>
    <m/>
    <m/>
    <m/>
    <m/>
    <m/>
    <s v="SAP"/>
    <m/>
    <m/>
    <m/>
    <m/>
    <m/>
    <m/>
    <m/>
    <m/>
    <m/>
    <m/>
    <m/>
    <m/>
    <n v="0.26785714285714285"/>
    <m/>
    <x v="7"/>
    <m/>
    <m/>
    <m/>
    <m/>
    <m/>
    <m/>
    <m/>
    <m/>
  </r>
  <r>
    <n v="1602082"/>
    <s v="Nisha "/>
    <m/>
    <m/>
    <m/>
    <m/>
    <m/>
    <m/>
    <s v="SAP"/>
    <m/>
    <m/>
    <m/>
    <m/>
    <m/>
    <m/>
    <m/>
    <m/>
    <m/>
    <m/>
    <m/>
    <m/>
    <n v="0.25"/>
    <m/>
    <x v="7"/>
    <m/>
    <m/>
    <m/>
    <m/>
    <m/>
    <m/>
    <m/>
    <m/>
  </r>
  <r>
    <n v="1101854"/>
    <s v="Harika Meka"/>
    <m/>
    <m/>
    <m/>
    <m/>
    <m/>
    <m/>
    <s v="SAP"/>
    <m/>
    <m/>
    <m/>
    <m/>
    <m/>
    <m/>
    <m/>
    <m/>
    <m/>
    <m/>
    <m/>
    <m/>
    <n v="0.4642857142857143"/>
    <m/>
    <x v="2"/>
    <m/>
    <m/>
    <m/>
    <m/>
    <m/>
    <m/>
    <m/>
    <m/>
  </r>
  <r>
    <n v="1101676"/>
    <s v="Priyanshu Chouhan"/>
    <m/>
    <m/>
    <m/>
    <m/>
    <m/>
    <m/>
    <s v="SAP"/>
    <m/>
    <m/>
    <m/>
    <m/>
    <m/>
    <m/>
    <m/>
    <m/>
    <m/>
    <m/>
    <m/>
    <m/>
    <n v="0.4642857142857143"/>
    <m/>
    <x v="2"/>
    <m/>
    <m/>
    <m/>
    <m/>
    <m/>
    <m/>
    <m/>
    <m/>
  </r>
  <r>
    <n v="1101837"/>
    <s v="Varun Mehta"/>
    <m/>
    <m/>
    <m/>
    <m/>
    <m/>
    <m/>
    <s v="SAP"/>
    <m/>
    <m/>
    <m/>
    <m/>
    <m/>
    <m/>
    <m/>
    <m/>
    <m/>
    <m/>
    <m/>
    <m/>
    <n v="0.52083333333333337"/>
    <m/>
    <x v="3"/>
    <m/>
    <m/>
    <m/>
    <m/>
    <m/>
    <m/>
    <m/>
    <m/>
  </r>
  <r>
    <n v="1012234"/>
    <s v="Subhojeet Santra"/>
    <m/>
    <m/>
    <m/>
    <m/>
    <m/>
    <m/>
    <s v="SAP"/>
    <m/>
    <m/>
    <m/>
    <m/>
    <m/>
    <m/>
    <m/>
    <m/>
    <m/>
    <m/>
    <m/>
    <m/>
    <n v="0.68608823529411767"/>
    <m/>
    <x v="5"/>
    <m/>
    <m/>
    <m/>
    <m/>
    <m/>
    <m/>
    <m/>
    <m/>
  </r>
  <r>
    <n v="1102171"/>
    <s v="Nanagari Jashuva"/>
    <m/>
    <m/>
    <m/>
    <m/>
    <m/>
    <m/>
    <s v="SAP"/>
    <m/>
    <m/>
    <m/>
    <m/>
    <m/>
    <m/>
    <m/>
    <m/>
    <m/>
    <m/>
    <m/>
    <m/>
    <n v="0.52083333333333337"/>
    <m/>
    <x v="3"/>
    <m/>
    <m/>
    <m/>
    <m/>
    <m/>
    <m/>
    <m/>
    <m/>
  </r>
  <r>
    <n v="1102132"/>
    <s v="Shivashankar Mallappa Nagur"/>
    <m/>
    <m/>
    <m/>
    <m/>
    <m/>
    <m/>
    <s v="SAP"/>
    <m/>
    <m/>
    <m/>
    <m/>
    <m/>
    <m/>
    <m/>
    <m/>
    <m/>
    <m/>
    <m/>
    <m/>
    <n v="0.5892857142857143"/>
    <m/>
    <x v="8"/>
    <m/>
    <m/>
    <m/>
    <m/>
    <m/>
    <m/>
    <m/>
    <m/>
  </r>
  <r>
    <n v="1602253"/>
    <s v="Tisha Haria"/>
    <m/>
    <m/>
    <m/>
    <m/>
    <m/>
    <m/>
    <s v="SAP"/>
    <m/>
    <m/>
    <m/>
    <m/>
    <m/>
    <m/>
    <m/>
    <m/>
    <m/>
    <m/>
    <m/>
    <m/>
    <n v="0.31916666666666665"/>
    <m/>
    <x v="7"/>
    <m/>
    <m/>
    <m/>
    <m/>
    <m/>
    <m/>
    <m/>
    <m/>
  </r>
  <r>
    <n v="1602284"/>
    <s v="Naga Jyothi Maddali "/>
    <m/>
    <m/>
    <m/>
    <m/>
    <m/>
    <m/>
    <s v="SAP"/>
    <m/>
    <m/>
    <m/>
    <m/>
    <m/>
    <m/>
    <m/>
    <m/>
    <m/>
    <m/>
    <m/>
    <m/>
    <n v="0.28999999999999998"/>
    <m/>
    <x v="7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782E0-D973-4CA7-99E4-DF6695213684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2:D20" firstHeaderRow="1" firstDataRow="1" firstDataCol="1"/>
  <pivotFields count="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0" showAll="0"/>
    <pivotField showAll="0"/>
    <pivotField axis="axisRow" showAll="0">
      <items count="18">
        <item x="0"/>
        <item x="2"/>
        <item x="4"/>
        <item x="6"/>
        <item x="10"/>
        <item x="13"/>
        <item x="11"/>
        <item x="16"/>
        <item x="1"/>
        <item x="12"/>
        <item x="14"/>
        <item x="5"/>
        <item x="8"/>
        <item x="9"/>
        <item x="7"/>
        <item x="3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Profit%" fld="21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A1DFC-3781-4D83-A8A5-1EEF182CE7B1}">
  <sheetPr>
    <tabColor rgb="FFFFFF00"/>
  </sheetPr>
  <dimension ref="A1:O41"/>
  <sheetViews>
    <sheetView topLeftCell="A16" zoomScale="90" zoomScaleNormal="90" workbookViewId="0">
      <pane xSplit="2" topLeftCell="L1" activePane="topRight" state="frozen"/>
      <selection pane="topRight" activeCell="O2" sqref="O2:O36"/>
    </sheetView>
  </sheetViews>
  <sheetFormatPr defaultRowHeight="14.5" x14ac:dyDescent="0.35"/>
  <cols>
    <col min="1" max="1" width="15.08203125" style="29" bestFit="1" customWidth="1"/>
    <col min="2" max="2" width="27.6640625" style="29" bestFit="1" customWidth="1"/>
    <col min="3" max="3" width="10.1640625" style="29" bestFit="1" customWidth="1"/>
    <col min="4" max="4" width="10.4140625" style="29" bestFit="1" customWidth="1"/>
    <col min="5" max="5" width="23.4140625" style="29" bestFit="1" customWidth="1"/>
    <col min="6" max="6" width="15.83203125" style="29" bestFit="1" customWidth="1"/>
    <col min="7" max="7" width="19.1640625" style="29" bestFit="1" customWidth="1"/>
    <col min="8" max="8" width="18.75" style="29" bestFit="1" customWidth="1"/>
    <col min="9" max="9" width="17.75" style="29" bestFit="1" customWidth="1"/>
    <col min="10" max="10" width="22.08203125" style="29" bestFit="1" customWidth="1"/>
    <col min="11" max="12" width="22.08203125" style="29" customWidth="1"/>
    <col min="13" max="13" width="17.58203125" style="29" bestFit="1" customWidth="1"/>
    <col min="14" max="14" width="14.1640625" style="29" bestFit="1" customWidth="1"/>
    <col min="15" max="15" width="11.6640625" style="29" bestFit="1" customWidth="1"/>
    <col min="16" max="16384" width="8.6640625" style="29"/>
  </cols>
  <sheetData>
    <row r="1" spans="1:15" x14ac:dyDescent="0.35">
      <c r="A1" s="37" t="s">
        <v>538</v>
      </c>
      <c r="B1" s="37" t="s">
        <v>361</v>
      </c>
      <c r="C1" s="37" t="s">
        <v>539</v>
      </c>
      <c r="D1" s="37" t="s">
        <v>540</v>
      </c>
      <c r="E1" s="37" t="s">
        <v>164</v>
      </c>
      <c r="F1" s="37" t="s">
        <v>7</v>
      </c>
      <c r="G1" s="37" t="s">
        <v>378</v>
      </c>
      <c r="H1" s="37" t="s">
        <v>541</v>
      </c>
      <c r="I1" s="37" t="s">
        <v>542</v>
      </c>
      <c r="J1" s="37" t="s">
        <v>543</v>
      </c>
      <c r="K1" s="37"/>
      <c r="L1" s="37"/>
      <c r="M1" s="37" t="s">
        <v>508</v>
      </c>
      <c r="N1" s="37" t="s">
        <v>544</v>
      </c>
      <c r="O1" s="37" t="s">
        <v>545</v>
      </c>
    </row>
    <row r="2" spans="1:15" x14ac:dyDescent="0.35">
      <c r="A2" s="38">
        <v>1000111</v>
      </c>
      <c r="B2" s="39" t="s">
        <v>546</v>
      </c>
      <c r="C2" s="40" t="s">
        <v>547</v>
      </c>
      <c r="D2" s="40" t="s">
        <v>548</v>
      </c>
      <c r="E2" s="40" t="s">
        <v>549</v>
      </c>
      <c r="F2" s="40" t="s">
        <v>550</v>
      </c>
      <c r="G2" s="41" t="s">
        <v>551</v>
      </c>
      <c r="H2" s="41" t="s">
        <v>551</v>
      </c>
      <c r="I2" s="42" t="s">
        <v>551</v>
      </c>
      <c r="J2" s="40" t="s">
        <v>552</v>
      </c>
      <c r="K2" s="40" t="str">
        <f>VLOOKUP(A2,'Employee detail'!$B$1:$F$220,5,0)</f>
        <v>IT Finance</v>
      </c>
      <c r="L2" s="40" t="s">
        <v>13</v>
      </c>
      <c r="M2" s="40" t="s">
        <v>387</v>
      </c>
      <c r="N2" s="43">
        <v>2100</v>
      </c>
      <c r="O2" s="44">
        <v>0.42911904761904762</v>
      </c>
    </row>
    <row r="3" spans="1:15" x14ac:dyDescent="0.35">
      <c r="A3" s="38">
        <v>1009797</v>
      </c>
      <c r="B3" s="39" t="s">
        <v>553</v>
      </c>
      <c r="C3" s="40" t="s">
        <v>554</v>
      </c>
      <c r="D3" s="40" t="s">
        <v>548</v>
      </c>
      <c r="E3" s="40" t="s">
        <v>549</v>
      </c>
      <c r="F3" s="40" t="s">
        <v>555</v>
      </c>
      <c r="G3" s="41" t="s">
        <v>551</v>
      </c>
      <c r="H3" s="41" t="s">
        <v>556</v>
      </c>
      <c r="I3" s="42" t="s">
        <v>551</v>
      </c>
      <c r="J3" s="40" t="s">
        <v>557</v>
      </c>
      <c r="K3" s="40" t="str">
        <f>VLOOKUP(A3,'Employee detail'!$B$1:$F$220,5,0)</f>
        <v>HCM</v>
      </c>
      <c r="L3" s="40" t="s">
        <v>558</v>
      </c>
      <c r="M3" s="40" t="s">
        <v>387</v>
      </c>
      <c r="N3" s="43">
        <v>2100</v>
      </c>
      <c r="O3" s="44">
        <v>0.30933333333333335</v>
      </c>
    </row>
    <row r="4" spans="1:15" x14ac:dyDescent="0.35">
      <c r="A4" s="38">
        <v>1601237</v>
      </c>
      <c r="B4" s="45" t="s">
        <v>559</v>
      </c>
      <c r="C4" s="40" t="s">
        <v>560</v>
      </c>
      <c r="D4" s="40" t="s">
        <v>548</v>
      </c>
      <c r="E4" s="40" t="s">
        <v>549</v>
      </c>
      <c r="F4" s="40" t="s">
        <v>133</v>
      </c>
      <c r="G4" s="41" t="s">
        <v>551</v>
      </c>
      <c r="H4" s="41" t="s">
        <v>556</v>
      </c>
      <c r="I4" s="42" t="s">
        <v>551</v>
      </c>
      <c r="J4" s="40" t="s">
        <v>561</v>
      </c>
      <c r="K4" s="40" t="str">
        <f>VLOOKUP(A4,'Employee detail'!$B$1:$F$220,5,0)</f>
        <v>PDC</v>
      </c>
      <c r="L4" s="40"/>
      <c r="M4" s="40" t="s">
        <v>387</v>
      </c>
      <c r="N4" s="43">
        <v>1800</v>
      </c>
      <c r="O4" s="44">
        <v>0.33333333333333331</v>
      </c>
    </row>
    <row r="5" spans="1:15" x14ac:dyDescent="0.35">
      <c r="A5" s="38">
        <v>1005949</v>
      </c>
      <c r="B5" s="39" t="s">
        <v>562</v>
      </c>
      <c r="C5" s="40" t="s">
        <v>563</v>
      </c>
      <c r="D5" s="40" t="s">
        <v>548</v>
      </c>
      <c r="E5" s="40" t="s">
        <v>549</v>
      </c>
      <c r="F5" s="40" t="s">
        <v>25</v>
      </c>
      <c r="G5" s="41" t="s">
        <v>551</v>
      </c>
      <c r="H5" s="41" t="s">
        <v>551</v>
      </c>
      <c r="I5" s="42" t="s">
        <v>551</v>
      </c>
      <c r="J5" s="40" t="s">
        <v>564</v>
      </c>
      <c r="K5" s="40" t="str">
        <f>VLOOKUP(A5,'Employee detail'!$B$1:$F$220,5,0)</f>
        <v>PDC</v>
      </c>
      <c r="L5" s="40" t="s">
        <v>23</v>
      </c>
      <c r="M5" s="40" t="s">
        <v>387</v>
      </c>
      <c r="N5" s="43">
        <v>1500</v>
      </c>
      <c r="O5" s="44">
        <v>-2.2566666666666665E-2</v>
      </c>
    </row>
    <row r="6" spans="1:15" x14ac:dyDescent="0.35">
      <c r="A6" s="38">
        <v>1012709</v>
      </c>
      <c r="B6" s="39" t="s">
        <v>565</v>
      </c>
      <c r="C6" s="40" t="s">
        <v>566</v>
      </c>
      <c r="D6" s="40" t="s">
        <v>548</v>
      </c>
      <c r="E6" s="40" t="s">
        <v>549</v>
      </c>
      <c r="F6" s="40" t="s">
        <v>160</v>
      </c>
      <c r="G6" s="41" t="s">
        <v>551</v>
      </c>
      <c r="H6" s="41" t="s">
        <v>551</v>
      </c>
      <c r="I6" s="42" t="s">
        <v>551</v>
      </c>
      <c r="J6" s="40" t="s">
        <v>567</v>
      </c>
      <c r="K6" s="40" t="str">
        <f>VLOOKUP(A6,'Employee detail'!$B$1:$F$220,5,0)</f>
        <v>PDC</v>
      </c>
      <c r="L6" s="40" t="s">
        <v>23</v>
      </c>
      <c r="M6" s="40" t="s">
        <v>387</v>
      </c>
      <c r="N6" s="43">
        <v>1400</v>
      </c>
      <c r="O6" s="44">
        <v>0.6388571428571429</v>
      </c>
    </row>
    <row r="7" spans="1:15" x14ac:dyDescent="0.35">
      <c r="A7" s="38">
        <v>1005201</v>
      </c>
      <c r="B7" s="39" t="s">
        <v>568</v>
      </c>
      <c r="C7" s="40" t="s">
        <v>554</v>
      </c>
      <c r="D7" s="40" t="s">
        <v>548</v>
      </c>
      <c r="E7" s="40" t="s">
        <v>549</v>
      </c>
      <c r="F7" s="40" t="s">
        <v>569</v>
      </c>
      <c r="G7" s="41" t="s">
        <v>551</v>
      </c>
      <c r="H7" s="41" t="s">
        <v>556</v>
      </c>
      <c r="I7" s="42" t="s">
        <v>570</v>
      </c>
      <c r="J7" s="40" t="s">
        <v>557</v>
      </c>
      <c r="K7" s="40" t="str">
        <f>VLOOKUP(A7,'Employee detail'!$B$1:$F$220,5,0)</f>
        <v>HCM</v>
      </c>
      <c r="L7" s="40" t="s">
        <v>558</v>
      </c>
      <c r="M7" s="40" t="s">
        <v>387</v>
      </c>
      <c r="N7" s="43">
        <v>1800</v>
      </c>
      <c r="O7" s="44">
        <v>0.5471111111111111</v>
      </c>
    </row>
    <row r="8" spans="1:15" x14ac:dyDescent="0.35">
      <c r="A8" s="38">
        <v>1012589</v>
      </c>
      <c r="B8" s="39" t="s">
        <v>203</v>
      </c>
      <c r="C8" s="40" t="s">
        <v>554</v>
      </c>
      <c r="D8" s="40" t="s">
        <v>548</v>
      </c>
      <c r="E8" s="40" t="s">
        <v>571</v>
      </c>
      <c r="F8" s="40" t="s">
        <v>572</v>
      </c>
      <c r="G8" s="41" t="s">
        <v>551</v>
      </c>
      <c r="H8" s="41" t="s">
        <v>573</v>
      </c>
      <c r="I8" s="42" t="s">
        <v>551</v>
      </c>
      <c r="J8" s="40" t="s">
        <v>574</v>
      </c>
      <c r="K8" s="40" t="str">
        <f>VLOOKUP(A8,'Employee detail'!$B$1:$F$220,5,0)</f>
        <v>MSP</v>
      </c>
      <c r="L8" s="40" t="s">
        <v>165</v>
      </c>
      <c r="M8" s="40" t="s">
        <v>387</v>
      </c>
      <c r="N8" s="43">
        <v>1640</v>
      </c>
      <c r="O8" s="44">
        <v>0.18699186991869918</v>
      </c>
    </row>
    <row r="9" spans="1:15" x14ac:dyDescent="0.35">
      <c r="A9" s="38">
        <v>1012968</v>
      </c>
      <c r="B9" s="39" t="s">
        <v>575</v>
      </c>
      <c r="C9" s="40" t="s">
        <v>554</v>
      </c>
      <c r="D9" s="40" t="s">
        <v>548</v>
      </c>
      <c r="E9" s="40" t="s">
        <v>549</v>
      </c>
      <c r="F9" s="40" t="s">
        <v>576</v>
      </c>
      <c r="G9" s="41" t="s">
        <v>551</v>
      </c>
      <c r="H9" s="41" t="s">
        <v>556</v>
      </c>
      <c r="I9" s="42" t="s">
        <v>551</v>
      </c>
      <c r="J9" s="40" t="s">
        <v>577</v>
      </c>
      <c r="K9" s="40" t="s">
        <v>165</v>
      </c>
      <c r="L9" s="40"/>
      <c r="M9" s="40" t="s">
        <v>387</v>
      </c>
      <c r="N9" s="43">
        <v>1800</v>
      </c>
      <c r="O9" s="44">
        <v>0.54552777777777772</v>
      </c>
    </row>
    <row r="10" spans="1:15" x14ac:dyDescent="0.35">
      <c r="A10" s="38">
        <v>1014344</v>
      </c>
      <c r="B10" s="39" t="s">
        <v>159</v>
      </c>
      <c r="C10" s="40" t="s">
        <v>566</v>
      </c>
      <c r="D10" s="40" t="s">
        <v>548</v>
      </c>
      <c r="E10" s="40" t="s">
        <v>549</v>
      </c>
      <c r="F10" s="40" t="s">
        <v>160</v>
      </c>
      <c r="G10" s="41" t="s">
        <v>551</v>
      </c>
      <c r="H10" s="41" t="s">
        <v>551</v>
      </c>
      <c r="I10" s="42" t="s">
        <v>551</v>
      </c>
      <c r="J10" s="40" t="s">
        <v>567</v>
      </c>
      <c r="K10" s="40" t="str">
        <f>VLOOKUP(A10,'Employee detail'!$B$1:$F$220,5,0)</f>
        <v>PDC</v>
      </c>
      <c r="L10" s="40"/>
      <c r="M10" s="40" t="s">
        <v>387</v>
      </c>
      <c r="N10" s="43">
        <v>1700</v>
      </c>
      <c r="O10" s="44">
        <v>0.72985294117647059</v>
      </c>
    </row>
    <row r="11" spans="1:15" x14ac:dyDescent="0.35">
      <c r="A11" s="38">
        <v>1601466</v>
      </c>
      <c r="B11" s="45" t="s">
        <v>161</v>
      </c>
      <c r="C11" s="40" t="s">
        <v>560</v>
      </c>
      <c r="D11" s="40" t="s">
        <v>548</v>
      </c>
      <c r="E11" s="40" t="s">
        <v>549</v>
      </c>
      <c r="F11" s="40" t="s">
        <v>578</v>
      </c>
      <c r="G11" s="41" t="s">
        <v>551</v>
      </c>
      <c r="H11" s="41" t="s">
        <v>551</v>
      </c>
      <c r="I11" s="42" t="s">
        <v>551</v>
      </c>
      <c r="J11" s="40" t="s">
        <v>564</v>
      </c>
      <c r="K11" s="40" t="str">
        <f>VLOOKUP(A11,'Employee detail'!$B$1:$F$220,5,0)</f>
        <v>PDC</v>
      </c>
      <c r="L11" s="40"/>
      <c r="M11" s="40" t="s">
        <v>387</v>
      </c>
      <c r="N11" s="43">
        <v>2200</v>
      </c>
      <c r="O11" s="44">
        <v>0.43181818181818182</v>
      </c>
    </row>
    <row r="12" spans="1:15" x14ac:dyDescent="0.35">
      <c r="A12" s="38">
        <v>1600057</v>
      </c>
      <c r="B12" s="39" t="s">
        <v>579</v>
      </c>
      <c r="C12" s="40" t="s">
        <v>554</v>
      </c>
      <c r="D12" s="40" t="s">
        <v>548</v>
      </c>
      <c r="E12" s="40" t="s">
        <v>549</v>
      </c>
      <c r="F12" s="40" t="s">
        <v>160</v>
      </c>
      <c r="G12" s="41" t="s">
        <v>551</v>
      </c>
      <c r="H12" s="41" t="s">
        <v>551</v>
      </c>
      <c r="I12" s="42" t="s">
        <v>551</v>
      </c>
      <c r="J12" s="40" t="s">
        <v>567</v>
      </c>
      <c r="K12" s="40" t="str">
        <f>VLOOKUP(A12,'Employee detail'!$B$1:$F$220,5,0)</f>
        <v>PDC</v>
      </c>
      <c r="L12" s="40"/>
      <c r="M12" s="40" t="s">
        <v>387</v>
      </c>
      <c r="N12" s="43">
        <v>1800</v>
      </c>
      <c r="O12" s="44">
        <v>0.45508333333333334</v>
      </c>
    </row>
    <row r="13" spans="1:15" x14ac:dyDescent="0.35">
      <c r="A13" s="38">
        <v>1601535</v>
      </c>
      <c r="B13" s="45" t="s">
        <v>174</v>
      </c>
      <c r="C13" s="40" t="s">
        <v>560</v>
      </c>
      <c r="D13" s="40" t="s">
        <v>548</v>
      </c>
      <c r="E13" s="40" t="s">
        <v>549</v>
      </c>
      <c r="F13" s="40" t="s">
        <v>578</v>
      </c>
      <c r="G13" s="41" t="s">
        <v>551</v>
      </c>
      <c r="H13" s="41" t="s">
        <v>551</v>
      </c>
      <c r="I13" s="42" t="s">
        <v>551</v>
      </c>
      <c r="J13" s="40" t="s">
        <v>564</v>
      </c>
      <c r="K13" s="40" t="str">
        <f>VLOOKUP(A13,'Employee detail'!$B$1:$F$220,5,0)</f>
        <v>PDC</v>
      </c>
      <c r="L13" s="40"/>
      <c r="M13" s="40" t="s">
        <v>387</v>
      </c>
      <c r="N13" s="43">
        <v>2350</v>
      </c>
      <c r="O13" s="44">
        <v>0.25531914893617019</v>
      </c>
    </row>
    <row r="14" spans="1:15" x14ac:dyDescent="0.35">
      <c r="A14" s="38">
        <v>1013812</v>
      </c>
      <c r="B14" s="39" t="s">
        <v>580</v>
      </c>
      <c r="C14" s="40" t="s">
        <v>554</v>
      </c>
      <c r="D14" s="40" t="s">
        <v>548</v>
      </c>
      <c r="E14" s="40" t="s">
        <v>549</v>
      </c>
      <c r="F14" s="40" t="s">
        <v>550</v>
      </c>
      <c r="G14" s="41" t="s">
        <v>551</v>
      </c>
      <c r="H14" s="41" t="s">
        <v>556</v>
      </c>
      <c r="I14" s="42" t="s">
        <v>551</v>
      </c>
      <c r="J14" s="40" t="s">
        <v>581</v>
      </c>
      <c r="K14" s="40" t="str">
        <f>VLOOKUP(A14,'Employee detail'!$B$1:$F$220,5,0)</f>
        <v>IT Finance</v>
      </c>
      <c r="L14" s="40"/>
      <c r="M14" s="40" t="s">
        <v>387</v>
      </c>
      <c r="N14" s="43">
        <v>1400</v>
      </c>
      <c r="O14" s="44">
        <v>0.43771428571428572</v>
      </c>
    </row>
    <row r="15" spans="1:15" x14ac:dyDescent="0.35">
      <c r="A15" s="38">
        <v>1004516</v>
      </c>
      <c r="B15" s="39" t="s">
        <v>186</v>
      </c>
      <c r="C15" s="40" t="s">
        <v>582</v>
      </c>
      <c r="D15" s="40" t="s">
        <v>548</v>
      </c>
      <c r="E15" s="40" t="s">
        <v>549</v>
      </c>
      <c r="F15" s="40" t="s">
        <v>187</v>
      </c>
      <c r="G15" s="41" t="s">
        <v>551</v>
      </c>
      <c r="H15" s="41" t="s">
        <v>556</v>
      </c>
      <c r="I15" s="42" t="s">
        <v>570</v>
      </c>
      <c r="J15" s="40" t="s">
        <v>557</v>
      </c>
      <c r="K15" s="40" t="str">
        <f>VLOOKUP(A15,'Employee detail'!$B$1:$F$220,5,0)</f>
        <v>HCM</v>
      </c>
      <c r="L15" s="40"/>
      <c r="M15" s="40" t="s">
        <v>387</v>
      </c>
      <c r="N15" s="43">
        <v>1800</v>
      </c>
      <c r="O15" s="44">
        <v>0.49072222222222223</v>
      </c>
    </row>
    <row r="16" spans="1:15" x14ac:dyDescent="0.35">
      <c r="A16" s="38">
        <v>1016969</v>
      </c>
      <c r="B16" s="39" t="s">
        <v>177</v>
      </c>
      <c r="C16" s="40" t="s">
        <v>582</v>
      </c>
      <c r="D16" s="40" t="s">
        <v>548</v>
      </c>
      <c r="E16" s="40" t="s">
        <v>549</v>
      </c>
      <c r="F16" s="40" t="s">
        <v>576</v>
      </c>
      <c r="G16" s="41" t="s">
        <v>551</v>
      </c>
      <c r="H16" s="41" t="s">
        <v>551</v>
      </c>
      <c r="I16" s="42" t="s">
        <v>551</v>
      </c>
      <c r="J16" s="40" t="s">
        <v>583</v>
      </c>
      <c r="K16" s="40" t="str">
        <f>VLOOKUP(A16,'Employee detail'!$B$1:$F$220,5,0)</f>
        <v>PDP</v>
      </c>
      <c r="L16" s="40"/>
      <c r="M16" s="40" t="s">
        <v>387</v>
      </c>
      <c r="N16" s="43">
        <v>1800</v>
      </c>
      <c r="O16" s="44">
        <v>0.30238888888888887</v>
      </c>
    </row>
    <row r="17" spans="1:15" x14ac:dyDescent="0.35">
      <c r="A17" s="38">
        <v>1017777</v>
      </c>
      <c r="B17" s="39" t="s">
        <v>201</v>
      </c>
      <c r="C17" s="40" t="s">
        <v>582</v>
      </c>
      <c r="D17" s="40" t="s">
        <v>548</v>
      </c>
      <c r="E17" s="40" t="s">
        <v>549</v>
      </c>
      <c r="F17" s="40" t="s">
        <v>576</v>
      </c>
      <c r="G17" s="41" t="s">
        <v>551</v>
      </c>
      <c r="H17" s="41" t="s">
        <v>551</v>
      </c>
      <c r="I17" s="42" t="s">
        <v>551</v>
      </c>
      <c r="J17" s="40" t="s">
        <v>584</v>
      </c>
      <c r="K17" s="40" t="str">
        <f>VLOOKUP(A17,'Employee detail'!$B$1:$F$220,5,0)</f>
        <v>CPS</v>
      </c>
      <c r="L17" s="40"/>
      <c r="M17" s="40" t="s">
        <v>387</v>
      </c>
      <c r="N17" s="43">
        <v>2100</v>
      </c>
      <c r="O17" s="44">
        <v>0.39047619047619048</v>
      </c>
    </row>
    <row r="18" spans="1:15" x14ac:dyDescent="0.35">
      <c r="A18" s="38">
        <v>1601627</v>
      </c>
      <c r="B18" s="45" t="s">
        <v>585</v>
      </c>
      <c r="C18" s="40" t="s">
        <v>560</v>
      </c>
      <c r="D18" s="40" t="s">
        <v>548</v>
      </c>
      <c r="E18" s="40" t="s">
        <v>571</v>
      </c>
      <c r="F18" s="40" t="s">
        <v>576</v>
      </c>
      <c r="G18" s="41" t="s">
        <v>551</v>
      </c>
      <c r="H18" s="41" t="s">
        <v>573</v>
      </c>
      <c r="I18" s="42" t="s">
        <v>551</v>
      </c>
      <c r="J18" s="40" t="s">
        <v>574</v>
      </c>
      <c r="K18" s="40" t="str">
        <f>VLOOKUP(A18,'Employee detail'!$B$1:$F$220,5,0)</f>
        <v>MSP</v>
      </c>
      <c r="L18" s="40"/>
      <c r="M18" s="40" t="s">
        <v>387</v>
      </c>
      <c r="N18" s="43">
        <v>2100</v>
      </c>
      <c r="O18" s="44">
        <v>0.30158730158730157</v>
      </c>
    </row>
    <row r="19" spans="1:15" x14ac:dyDescent="0.35">
      <c r="A19" s="38">
        <v>1601630</v>
      </c>
      <c r="B19" s="45" t="s">
        <v>586</v>
      </c>
      <c r="C19" s="40" t="s">
        <v>560</v>
      </c>
      <c r="D19" s="40" t="s">
        <v>548</v>
      </c>
      <c r="E19" s="40" t="s">
        <v>549</v>
      </c>
      <c r="F19" s="40" t="s">
        <v>578</v>
      </c>
      <c r="G19" s="41" t="s">
        <v>551</v>
      </c>
      <c r="H19" s="41" t="s">
        <v>551</v>
      </c>
      <c r="I19" s="42" t="s">
        <v>551</v>
      </c>
      <c r="J19" s="40" t="s">
        <v>564</v>
      </c>
      <c r="K19" s="40" t="str">
        <f>VLOOKUP(A19,'Employee detail'!$B$1:$F$220,5,0)</f>
        <v>PDC</v>
      </c>
      <c r="L19" s="40"/>
      <c r="M19" s="40" t="s">
        <v>387</v>
      </c>
      <c r="N19" s="43">
        <v>2350</v>
      </c>
      <c r="O19" s="44">
        <v>0.25531914893617019</v>
      </c>
    </row>
    <row r="20" spans="1:15" x14ac:dyDescent="0.35">
      <c r="A20" s="38">
        <v>1100051</v>
      </c>
      <c r="B20" s="39" t="s">
        <v>207</v>
      </c>
      <c r="C20" s="40" t="s">
        <v>554</v>
      </c>
      <c r="D20" s="40" t="s">
        <v>548</v>
      </c>
      <c r="E20" s="40" t="s">
        <v>549</v>
      </c>
      <c r="F20" s="40" t="s">
        <v>576</v>
      </c>
      <c r="G20" s="41" t="s">
        <v>551</v>
      </c>
      <c r="H20" s="41" t="s">
        <v>556</v>
      </c>
      <c r="I20" s="42" t="s">
        <v>551</v>
      </c>
      <c r="J20" s="40" t="s">
        <v>552</v>
      </c>
      <c r="K20" s="40" t="str">
        <f>VLOOKUP(A20,'Employee detail'!$B$1:$F$220,5,0)</f>
        <v>IT Finance</v>
      </c>
      <c r="L20" s="40"/>
      <c r="M20" s="40" t="s">
        <v>387</v>
      </c>
      <c r="N20" s="43">
        <v>1700</v>
      </c>
      <c r="O20" s="44">
        <v>0.58811764705882352</v>
      </c>
    </row>
    <row r="21" spans="1:15" x14ac:dyDescent="0.35">
      <c r="A21" s="38">
        <v>1601656</v>
      </c>
      <c r="B21" s="45" t="s">
        <v>587</v>
      </c>
      <c r="C21" s="40" t="s">
        <v>560</v>
      </c>
      <c r="D21" s="40" t="s">
        <v>548</v>
      </c>
      <c r="E21" s="40" t="s">
        <v>549</v>
      </c>
      <c r="F21" s="40" t="s">
        <v>578</v>
      </c>
      <c r="G21" s="41" t="s">
        <v>551</v>
      </c>
      <c r="H21" s="41" t="s">
        <v>551</v>
      </c>
      <c r="I21" s="42" t="s">
        <v>551</v>
      </c>
      <c r="J21" s="40" t="s">
        <v>564</v>
      </c>
      <c r="K21" s="40" t="str">
        <f>VLOOKUP(A21,'Employee detail'!$B$1:$F$220,5,0)</f>
        <v>PDC</v>
      </c>
      <c r="L21" s="40"/>
      <c r="M21" s="40" t="s">
        <v>387</v>
      </c>
      <c r="N21" s="43">
        <v>2100</v>
      </c>
      <c r="O21" s="44">
        <v>0.22857142857142856</v>
      </c>
    </row>
    <row r="22" spans="1:15" x14ac:dyDescent="0.35">
      <c r="A22" s="38">
        <v>1601660</v>
      </c>
      <c r="B22" s="45" t="s">
        <v>588</v>
      </c>
      <c r="C22" s="40" t="s">
        <v>560</v>
      </c>
      <c r="D22" s="40" t="s">
        <v>548</v>
      </c>
      <c r="E22" s="40" t="s">
        <v>549</v>
      </c>
      <c r="F22" s="40" t="s">
        <v>578</v>
      </c>
      <c r="G22" s="41" t="s">
        <v>551</v>
      </c>
      <c r="H22" s="41" t="s">
        <v>551</v>
      </c>
      <c r="I22" s="42" t="s">
        <v>551</v>
      </c>
      <c r="J22" s="40" t="s">
        <v>564</v>
      </c>
      <c r="K22" s="40" t="str">
        <f>VLOOKUP(A22,'Employee detail'!$B$1:$F$220,5,0)</f>
        <v>PDC</v>
      </c>
      <c r="L22" s="40"/>
      <c r="M22" s="40" t="s">
        <v>387</v>
      </c>
      <c r="N22" s="43">
        <v>1700</v>
      </c>
      <c r="O22" s="44">
        <v>0.23529411764705882</v>
      </c>
    </row>
    <row r="23" spans="1:15" x14ac:dyDescent="0.35">
      <c r="A23" s="38">
        <v>1014265</v>
      </c>
      <c r="B23" s="39" t="s">
        <v>589</v>
      </c>
      <c r="C23" s="40" t="s">
        <v>566</v>
      </c>
      <c r="D23" s="40" t="s">
        <v>548</v>
      </c>
      <c r="E23" s="40" t="s">
        <v>549</v>
      </c>
      <c r="F23" s="40" t="s">
        <v>160</v>
      </c>
      <c r="G23" s="41" t="s">
        <v>551</v>
      </c>
      <c r="H23" s="41" t="s">
        <v>551</v>
      </c>
      <c r="I23" s="42" t="s">
        <v>551</v>
      </c>
      <c r="J23" s="40" t="s">
        <v>567</v>
      </c>
      <c r="K23" s="40" t="str">
        <f>VLOOKUP(A23,'Employee detail'!$B$1:$F$220,5,0)</f>
        <v>PDC</v>
      </c>
      <c r="L23" s="40"/>
      <c r="M23" s="40" t="s">
        <v>387</v>
      </c>
      <c r="N23" s="43">
        <v>1800</v>
      </c>
      <c r="O23" s="44">
        <v>0.73169444444444443</v>
      </c>
    </row>
    <row r="24" spans="1:15" x14ac:dyDescent="0.35">
      <c r="A24" s="38">
        <v>1601741</v>
      </c>
      <c r="B24" s="45" t="s">
        <v>590</v>
      </c>
      <c r="C24" s="40" t="s">
        <v>560</v>
      </c>
      <c r="D24" s="40" t="s">
        <v>548</v>
      </c>
      <c r="E24" s="40" t="s">
        <v>549</v>
      </c>
      <c r="F24" s="40" t="s">
        <v>160</v>
      </c>
      <c r="G24" s="41" t="s">
        <v>551</v>
      </c>
      <c r="H24" s="41" t="s">
        <v>551</v>
      </c>
      <c r="I24" s="42" t="s">
        <v>551</v>
      </c>
      <c r="J24" s="40" t="s">
        <v>567</v>
      </c>
      <c r="K24" s="40" t="str">
        <f>VLOOKUP(A24,'Employee detail'!$B$1:$F$220,5,0)</f>
        <v>PDC</v>
      </c>
      <c r="L24" s="40"/>
      <c r="M24" s="40" t="s">
        <v>387</v>
      </c>
      <c r="N24" s="43">
        <v>1800</v>
      </c>
      <c r="O24" s="44">
        <v>0.33333333333333331</v>
      </c>
    </row>
    <row r="25" spans="1:15" x14ac:dyDescent="0.35">
      <c r="A25" s="38">
        <v>1015679</v>
      </c>
      <c r="B25" s="39" t="s">
        <v>591</v>
      </c>
      <c r="C25" s="40" t="s">
        <v>566</v>
      </c>
      <c r="D25" s="40" t="s">
        <v>548</v>
      </c>
      <c r="E25" s="40" t="s">
        <v>549</v>
      </c>
      <c r="F25" s="40" t="s">
        <v>160</v>
      </c>
      <c r="G25" s="41" t="s">
        <v>551</v>
      </c>
      <c r="H25" s="41" t="s">
        <v>551</v>
      </c>
      <c r="I25" s="42" t="s">
        <v>551</v>
      </c>
      <c r="J25" s="40" t="s">
        <v>564</v>
      </c>
      <c r="K25" s="40" t="str">
        <f>VLOOKUP(A25,'Employee detail'!$B$1:$F$220,5,0)</f>
        <v>PDC</v>
      </c>
      <c r="L25" s="40"/>
      <c r="M25" s="40" t="s">
        <v>387</v>
      </c>
      <c r="N25" s="43">
        <v>1200</v>
      </c>
      <c r="O25" s="44">
        <v>0.63804166666666662</v>
      </c>
    </row>
    <row r="26" spans="1:15" x14ac:dyDescent="0.35">
      <c r="A26" s="38">
        <v>1008331</v>
      </c>
      <c r="B26" s="39" t="s">
        <v>592</v>
      </c>
      <c r="C26" s="40" t="s">
        <v>554</v>
      </c>
      <c r="D26" s="40" t="s">
        <v>548</v>
      </c>
      <c r="E26" s="40" t="s">
        <v>549</v>
      </c>
      <c r="F26" s="40" t="s">
        <v>160</v>
      </c>
      <c r="G26" s="41" t="s">
        <v>551</v>
      </c>
      <c r="H26" s="41" t="s">
        <v>551</v>
      </c>
      <c r="I26" s="42" t="s">
        <v>551</v>
      </c>
      <c r="J26" s="40" t="s">
        <v>567</v>
      </c>
      <c r="K26" s="40" t="str">
        <f>VLOOKUP(A26,'Employee detail'!$B$1:$F$220,5,0)</f>
        <v>PDC</v>
      </c>
      <c r="L26" s="40"/>
      <c r="M26" s="40" t="s">
        <v>387</v>
      </c>
      <c r="N26" s="43">
        <v>1400</v>
      </c>
      <c r="O26" s="44">
        <v>0.44203571428571431</v>
      </c>
    </row>
    <row r="27" spans="1:15" x14ac:dyDescent="0.35">
      <c r="A27" s="38">
        <v>1602021</v>
      </c>
      <c r="B27" s="45" t="s">
        <v>283</v>
      </c>
      <c r="C27" s="40" t="s">
        <v>560</v>
      </c>
      <c r="D27" s="40" t="s">
        <v>548</v>
      </c>
      <c r="E27" s="40" t="s">
        <v>549</v>
      </c>
      <c r="F27" s="40" t="s">
        <v>578</v>
      </c>
      <c r="G27" s="41" t="s">
        <v>551</v>
      </c>
      <c r="H27" s="41" t="s">
        <v>551</v>
      </c>
      <c r="I27" s="42" t="s">
        <v>551</v>
      </c>
      <c r="J27" s="40" t="s">
        <v>564</v>
      </c>
      <c r="K27" s="40" t="str">
        <f>VLOOKUP(A27,'Employee detail'!$B$1:$F$220,5,0)</f>
        <v>PDC</v>
      </c>
      <c r="L27" s="40"/>
      <c r="M27" s="40" t="s">
        <v>387</v>
      </c>
      <c r="N27" s="43">
        <v>2800</v>
      </c>
      <c r="O27" s="44">
        <v>0.26785714285714285</v>
      </c>
    </row>
    <row r="28" spans="1:15" x14ac:dyDescent="0.35">
      <c r="A28" s="38">
        <v>1602082</v>
      </c>
      <c r="B28" s="45" t="s">
        <v>593</v>
      </c>
      <c r="C28" s="40" t="s">
        <v>560</v>
      </c>
      <c r="D28" s="40" t="s">
        <v>548</v>
      </c>
      <c r="E28" s="40" t="s">
        <v>549</v>
      </c>
      <c r="F28" s="40" t="s">
        <v>578</v>
      </c>
      <c r="G28" s="41" t="s">
        <v>551</v>
      </c>
      <c r="H28" s="41" t="s">
        <v>551</v>
      </c>
      <c r="I28" s="42" t="s">
        <v>551</v>
      </c>
      <c r="J28" s="40" t="s">
        <v>564</v>
      </c>
      <c r="K28" s="40" t="str">
        <f>VLOOKUP(A28,'Employee detail'!$B$1:$F$220,5,0)</f>
        <v>PDC</v>
      </c>
      <c r="L28" s="40"/>
      <c r="M28" s="40" t="s">
        <v>387</v>
      </c>
      <c r="N28" s="43">
        <v>2400</v>
      </c>
      <c r="O28" s="44">
        <v>0.25</v>
      </c>
    </row>
    <row r="29" spans="1:15" x14ac:dyDescent="0.35">
      <c r="A29" s="38">
        <v>1101854</v>
      </c>
      <c r="B29" s="39" t="s">
        <v>594</v>
      </c>
      <c r="C29" s="40" t="s">
        <v>566</v>
      </c>
      <c r="D29" s="40" t="s">
        <v>548</v>
      </c>
      <c r="E29" s="40" t="s">
        <v>549</v>
      </c>
      <c r="F29" s="40" t="s">
        <v>576</v>
      </c>
      <c r="G29" s="41" t="s">
        <v>551</v>
      </c>
      <c r="H29" s="41" t="s">
        <v>556</v>
      </c>
      <c r="I29" s="42" t="s">
        <v>551</v>
      </c>
      <c r="J29" s="40" t="s">
        <v>584</v>
      </c>
      <c r="K29" s="40" t="str">
        <f>VLOOKUP(A29,'Employee detail'!$B$1:$F$220,5,0)</f>
        <v>CPS</v>
      </c>
      <c r="L29" s="40"/>
      <c r="M29" s="40" t="s">
        <v>387</v>
      </c>
      <c r="N29" s="43">
        <v>1400</v>
      </c>
      <c r="O29" s="44">
        <v>0.4642857142857143</v>
      </c>
    </row>
    <row r="30" spans="1:15" x14ac:dyDescent="0.35">
      <c r="A30" s="38">
        <v>1101676</v>
      </c>
      <c r="B30" s="39" t="s">
        <v>327</v>
      </c>
      <c r="C30" s="40" t="s">
        <v>566</v>
      </c>
      <c r="D30" s="40" t="s">
        <v>548</v>
      </c>
      <c r="E30" s="40" t="s">
        <v>549</v>
      </c>
      <c r="F30" s="40" t="s">
        <v>576</v>
      </c>
      <c r="G30" s="41" t="s">
        <v>551</v>
      </c>
      <c r="H30" s="41" t="s">
        <v>556</v>
      </c>
      <c r="I30" s="42" t="s">
        <v>551</v>
      </c>
      <c r="J30" s="40" t="s">
        <v>584</v>
      </c>
      <c r="K30" s="40" t="str">
        <f>VLOOKUP(A30,'Employee detail'!$B$1:$F$220,5,0)</f>
        <v>CPS</v>
      </c>
      <c r="L30" s="40"/>
      <c r="M30" s="40" t="s">
        <v>387</v>
      </c>
      <c r="N30" s="43">
        <v>1400</v>
      </c>
      <c r="O30" s="44">
        <v>0.4642857142857143</v>
      </c>
    </row>
    <row r="31" spans="1:15" x14ac:dyDescent="0.35">
      <c r="A31" s="38">
        <v>1101837</v>
      </c>
      <c r="B31" s="39" t="s">
        <v>325</v>
      </c>
      <c r="C31" s="40" t="s">
        <v>566</v>
      </c>
      <c r="D31" s="40" t="s">
        <v>548</v>
      </c>
      <c r="E31" s="40" t="s">
        <v>549</v>
      </c>
      <c r="F31" s="40" t="s">
        <v>576</v>
      </c>
      <c r="G31" s="41" t="s">
        <v>551</v>
      </c>
      <c r="H31" s="41" t="s">
        <v>556</v>
      </c>
      <c r="I31" s="42" t="s">
        <v>551</v>
      </c>
      <c r="J31" s="40" t="s">
        <v>595</v>
      </c>
      <c r="K31" s="40" t="str">
        <f>VLOOKUP(A31,'Employee detail'!$B$1:$F$220,5,0)</f>
        <v>PDP</v>
      </c>
      <c r="L31" s="40"/>
      <c r="M31" s="40" t="s">
        <v>387</v>
      </c>
      <c r="N31" s="43">
        <v>1200</v>
      </c>
      <c r="O31" s="44">
        <v>0.52083333333333337</v>
      </c>
    </row>
    <row r="32" spans="1:15" x14ac:dyDescent="0.35">
      <c r="A32" s="38">
        <v>1012234</v>
      </c>
      <c r="B32" s="39" t="s">
        <v>331</v>
      </c>
      <c r="C32" s="40" t="s">
        <v>566</v>
      </c>
      <c r="D32" s="40" t="s">
        <v>548</v>
      </c>
      <c r="E32" s="40" t="s">
        <v>549</v>
      </c>
      <c r="F32" s="40" t="s">
        <v>576</v>
      </c>
      <c r="G32" s="41" t="s">
        <v>551</v>
      </c>
      <c r="H32" s="41" t="s">
        <v>556</v>
      </c>
      <c r="I32" s="42" t="s">
        <v>551</v>
      </c>
      <c r="J32" s="40" t="s">
        <v>596</v>
      </c>
      <c r="K32" s="40" t="str">
        <f>VLOOKUP(A32,'Employee detail'!$B$1:$F$220,5,0)</f>
        <v>JDF</v>
      </c>
      <c r="L32" s="40"/>
      <c r="M32" s="40" t="s">
        <v>387</v>
      </c>
      <c r="N32" s="43">
        <v>1700</v>
      </c>
      <c r="O32" s="44">
        <v>0.68608823529411767</v>
      </c>
    </row>
    <row r="33" spans="1:15" x14ac:dyDescent="0.35">
      <c r="A33" s="38">
        <v>1102171</v>
      </c>
      <c r="B33" s="39" t="s">
        <v>597</v>
      </c>
      <c r="C33" s="40" t="s">
        <v>554</v>
      </c>
      <c r="D33" s="40" t="s">
        <v>548</v>
      </c>
      <c r="E33" s="40" t="s">
        <v>549</v>
      </c>
      <c r="F33" s="40" t="s">
        <v>576</v>
      </c>
      <c r="G33" s="41" t="s">
        <v>551</v>
      </c>
      <c r="H33" s="41" t="s">
        <v>556</v>
      </c>
      <c r="I33" s="42" t="s">
        <v>551</v>
      </c>
      <c r="J33" s="40" t="s">
        <v>598</v>
      </c>
      <c r="K33" s="40" t="str">
        <f>VLOOKUP(A33,'Employee detail'!$B$1:$F$220,5,0)</f>
        <v>PDP</v>
      </c>
      <c r="L33" s="40"/>
      <c r="M33" s="40" t="s">
        <v>387</v>
      </c>
      <c r="N33" s="43">
        <v>1200</v>
      </c>
      <c r="O33" s="44">
        <v>0.52083333333333337</v>
      </c>
    </row>
    <row r="34" spans="1:15" x14ac:dyDescent="0.35">
      <c r="A34" s="38">
        <v>1102132</v>
      </c>
      <c r="B34" s="39" t="s">
        <v>599</v>
      </c>
      <c r="C34" s="40" t="s">
        <v>566</v>
      </c>
      <c r="D34" s="40" t="s">
        <v>548</v>
      </c>
      <c r="E34" s="40" t="s">
        <v>549</v>
      </c>
      <c r="F34" s="40" t="s">
        <v>191</v>
      </c>
      <c r="G34" s="41" t="s">
        <v>551</v>
      </c>
      <c r="H34" s="41" t="s">
        <v>556</v>
      </c>
      <c r="I34" s="42" t="s">
        <v>551</v>
      </c>
      <c r="J34" s="40" t="s">
        <v>577</v>
      </c>
      <c r="K34" s="40" t="str">
        <f>VLOOKUP(A34,'Employee detail'!$B$1:$F$220,5,0)</f>
        <v>MSP</v>
      </c>
      <c r="L34" s="40"/>
      <c r="M34" s="40" t="s">
        <v>387</v>
      </c>
      <c r="N34" s="43">
        <v>1400</v>
      </c>
      <c r="O34" s="44">
        <v>0.5892857142857143</v>
      </c>
    </row>
    <row r="35" spans="1:15" x14ac:dyDescent="0.35">
      <c r="A35" s="38">
        <v>1602253</v>
      </c>
      <c r="B35" s="45" t="s">
        <v>342</v>
      </c>
      <c r="C35" s="40" t="s">
        <v>560</v>
      </c>
      <c r="D35" s="40" t="s">
        <v>548</v>
      </c>
      <c r="E35" s="40" t="s">
        <v>549</v>
      </c>
      <c r="F35" s="40" t="s">
        <v>578</v>
      </c>
      <c r="G35" s="41" t="s">
        <v>551</v>
      </c>
      <c r="H35" s="41" t="s">
        <v>551</v>
      </c>
      <c r="I35" s="42" t="s">
        <v>551</v>
      </c>
      <c r="J35" s="40" t="s">
        <v>564</v>
      </c>
      <c r="K35" s="40" t="str">
        <f>VLOOKUP(A35,'Employee detail'!$B$1:$F$220,5,0)</f>
        <v>PDC</v>
      </c>
      <c r="L35" s="40"/>
      <c r="M35" s="40" t="s">
        <v>387</v>
      </c>
      <c r="N35" s="43">
        <v>2400</v>
      </c>
      <c r="O35" s="44">
        <v>0.31916666666666665</v>
      </c>
    </row>
    <row r="36" spans="1:15" x14ac:dyDescent="0.35">
      <c r="A36" s="29">
        <v>1602284</v>
      </c>
      <c r="B36" s="45" t="s">
        <v>600</v>
      </c>
      <c r="C36" s="40" t="s">
        <v>560</v>
      </c>
      <c r="D36" s="40" t="s">
        <v>548</v>
      </c>
      <c r="E36" s="40" t="s">
        <v>549</v>
      </c>
      <c r="F36" s="40" t="s">
        <v>578</v>
      </c>
      <c r="G36" s="41" t="s">
        <v>551</v>
      </c>
      <c r="H36" s="41" t="s">
        <v>551</v>
      </c>
      <c r="I36" s="42" t="s">
        <v>551</v>
      </c>
      <c r="J36" s="40" t="s">
        <v>564</v>
      </c>
      <c r="K36" s="40" t="s">
        <v>23</v>
      </c>
      <c r="L36" s="40"/>
      <c r="M36" s="40" t="s">
        <v>387</v>
      </c>
      <c r="N36" s="43">
        <v>2100</v>
      </c>
      <c r="O36" s="44">
        <v>0.28999999999999998</v>
      </c>
    </row>
    <row r="41" spans="1:15" x14ac:dyDescent="0.35">
      <c r="J41" s="29">
        <v>49</v>
      </c>
      <c r="M41" s="29">
        <v>44</v>
      </c>
      <c r="N41" s="29">
        <f>J41+M41</f>
        <v>93</v>
      </c>
      <c r="O41" s="29">
        <f>N41/2</f>
        <v>46.5</v>
      </c>
    </row>
  </sheetData>
  <autoFilter ref="A1:O36" xr:uid="{95B4288A-E72A-4835-82CC-449669ACD186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B499-EDB5-46AB-A3E2-DD11794953B9}">
  <sheetPr filterMode="1"/>
  <dimension ref="A1:AG3207"/>
  <sheetViews>
    <sheetView tabSelected="1" topLeftCell="A172" zoomScaleNormal="100" workbookViewId="0">
      <pane xSplit="2" topLeftCell="I1" activePane="topRight" state="frozen"/>
      <selection pane="topRight" activeCell="AG179" sqref="AG179:AG180"/>
    </sheetView>
  </sheetViews>
  <sheetFormatPr defaultRowHeight="14.5" zeroHeight="1" x14ac:dyDescent="0.35"/>
  <cols>
    <col min="1" max="1" width="12.33203125" style="29" bestFit="1" customWidth="1"/>
    <col min="2" max="2" width="39.58203125" style="29" bestFit="1" customWidth="1"/>
    <col min="3" max="3" width="15.4140625" style="29" hidden="1" customWidth="1"/>
    <col min="4" max="4" width="14.33203125" style="29" hidden="1" customWidth="1"/>
    <col min="5" max="5" width="37.4140625" style="29" hidden="1" customWidth="1"/>
    <col min="6" max="6" width="39.58203125" style="29" hidden="1" customWidth="1"/>
    <col min="7" max="7" width="10.4140625" style="29" hidden="1" customWidth="1"/>
    <col min="8" max="8" width="10.5" style="29" hidden="1" customWidth="1"/>
    <col min="9" max="9" width="28.25" style="29" customWidth="1"/>
    <col min="10" max="10" width="14.58203125" style="29" hidden="1" customWidth="1"/>
    <col min="11" max="11" width="21.4140625" style="29" hidden="1" customWidth="1"/>
    <col min="12" max="12" width="12.25" style="29" hidden="1" customWidth="1"/>
    <col min="13" max="21" width="15.1640625" style="29" hidden="1" customWidth="1"/>
    <col min="22" max="22" width="15.1640625" style="29" customWidth="1"/>
    <col min="23" max="23" width="22.08203125" style="29" hidden="1" customWidth="1"/>
    <col min="24" max="24" width="30.75" style="29" customWidth="1"/>
    <col min="25" max="26" width="33" style="29" hidden="1" customWidth="1"/>
    <col min="27" max="27" width="42" style="29" hidden="1" customWidth="1"/>
    <col min="28" max="28" width="25.25" style="29" hidden="1" customWidth="1"/>
    <col min="29" max="29" width="11.08203125" style="29" hidden="1" customWidth="1"/>
    <col min="30" max="30" width="11.4140625" style="29" hidden="1" customWidth="1"/>
    <col min="31" max="31" width="15.6640625" style="29" hidden="1" customWidth="1"/>
    <col min="32" max="32" width="15.4140625" style="29" hidden="1" customWidth="1"/>
    <col min="33" max="16384" width="8.6640625" style="29"/>
  </cols>
  <sheetData>
    <row r="1" spans="1:32" x14ac:dyDescent="0.35">
      <c r="A1" s="27" t="s">
        <v>360</v>
      </c>
      <c r="B1" s="27" t="s">
        <v>361</v>
      </c>
      <c r="C1" s="27" t="s">
        <v>362</v>
      </c>
      <c r="D1" s="27" t="s">
        <v>504</v>
      </c>
      <c r="E1" s="27" t="s">
        <v>505</v>
      </c>
      <c r="F1" s="27" t="s">
        <v>363</v>
      </c>
      <c r="G1" s="27" t="s">
        <v>506</v>
      </c>
      <c r="H1" s="27" t="s">
        <v>507</v>
      </c>
      <c r="I1" s="27" t="s">
        <v>364</v>
      </c>
      <c r="J1" s="27" t="s">
        <v>508</v>
      </c>
      <c r="K1" s="27" t="s">
        <v>365</v>
      </c>
      <c r="L1" s="27" t="s">
        <v>509</v>
      </c>
      <c r="M1" s="27" t="s">
        <v>366</v>
      </c>
      <c r="N1" s="27" t="s">
        <v>367</v>
      </c>
      <c r="O1" s="27" t="s">
        <v>368</v>
      </c>
      <c r="P1" s="27" t="s">
        <v>369</v>
      </c>
      <c r="Q1" s="27" t="s">
        <v>370</v>
      </c>
      <c r="R1" s="27" t="s">
        <v>371</v>
      </c>
      <c r="S1" s="27" t="s">
        <v>372</v>
      </c>
      <c r="T1" s="27" t="s">
        <v>373</v>
      </c>
      <c r="U1" s="27" t="s">
        <v>374</v>
      </c>
      <c r="V1" s="28" t="s">
        <v>375</v>
      </c>
      <c r="W1" s="27" t="s">
        <v>376</v>
      </c>
      <c r="X1" s="27" t="s">
        <v>601</v>
      </c>
      <c r="Y1" s="27" t="s">
        <v>377</v>
      </c>
      <c r="Z1" s="27" t="s">
        <v>378</v>
      </c>
      <c r="AA1" s="27" t="s">
        <v>379</v>
      </c>
      <c r="AB1" s="27" t="s">
        <v>380</v>
      </c>
      <c r="AC1" s="27" t="s">
        <v>381</v>
      </c>
      <c r="AD1" s="27" t="s">
        <v>382</v>
      </c>
      <c r="AE1" s="27" t="s">
        <v>383</v>
      </c>
      <c r="AF1" s="27" t="s">
        <v>384</v>
      </c>
    </row>
    <row r="2" spans="1:32" hidden="1" x14ac:dyDescent="0.35">
      <c r="A2" s="30">
        <v>1601783</v>
      </c>
      <c r="B2" s="30" t="s">
        <v>233</v>
      </c>
      <c r="C2" s="30" t="s">
        <v>12</v>
      </c>
      <c r="D2" s="30" t="s">
        <v>510</v>
      </c>
      <c r="E2" s="30" t="s">
        <v>11</v>
      </c>
      <c r="F2" s="30" t="s">
        <v>385</v>
      </c>
      <c r="G2" s="30" t="s">
        <v>511</v>
      </c>
      <c r="H2" s="30" t="s">
        <v>512</v>
      </c>
      <c r="I2" s="30" t="s">
        <v>386</v>
      </c>
      <c r="J2" s="30" t="s">
        <v>387</v>
      </c>
      <c r="K2" s="30" t="s">
        <v>387</v>
      </c>
      <c r="L2" s="30">
        <v>100</v>
      </c>
      <c r="M2" s="30">
        <v>1800</v>
      </c>
      <c r="N2" s="31">
        <v>1.2195121951219513E-2</v>
      </c>
      <c r="O2" s="32">
        <f>(L2/100)*M2*N2*(20*AE2)</f>
        <v>3951.2195121951222</v>
      </c>
      <c r="P2" s="33">
        <v>2430000</v>
      </c>
      <c r="Q2" s="33">
        <v>300000</v>
      </c>
      <c r="R2" s="33">
        <f>IFERROR(P2*(L2/100),"-")</f>
        <v>2430000</v>
      </c>
      <c r="S2" s="33">
        <f>IFERROR(Q2*(L2/100),"-")</f>
        <v>300000</v>
      </c>
      <c r="T2" s="32">
        <f>IFERROR((R2+S2)/(86*12),"-")</f>
        <v>2645.3488372093025</v>
      </c>
      <c r="U2" s="32">
        <f>O2-T2</f>
        <v>1305.8706749858197</v>
      </c>
      <c r="V2" s="34">
        <f>U2/O2</f>
        <v>0.33049813379270743</v>
      </c>
      <c r="W2" s="30" t="s">
        <v>388</v>
      </c>
      <c r="X2" s="30" t="s">
        <v>73</v>
      </c>
      <c r="Y2" s="30" t="s">
        <v>385</v>
      </c>
      <c r="Z2" s="30" t="s">
        <v>389</v>
      </c>
      <c r="AA2" s="30" t="s">
        <v>390</v>
      </c>
      <c r="AB2" s="30" t="s">
        <v>391</v>
      </c>
      <c r="AC2" s="30" t="s">
        <v>392</v>
      </c>
      <c r="AD2" s="30" t="s">
        <v>393</v>
      </c>
      <c r="AE2" s="30">
        <v>9</v>
      </c>
      <c r="AF2" s="30" t="s">
        <v>394</v>
      </c>
    </row>
    <row r="3" spans="1:32" hidden="1" x14ac:dyDescent="0.35">
      <c r="A3" s="30">
        <v>1102379</v>
      </c>
      <c r="B3" s="30" t="s">
        <v>401</v>
      </c>
      <c r="C3" s="30" t="s">
        <v>12</v>
      </c>
      <c r="D3" s="30" t="s">
        <v>513</v>
      </c>
      <c r="E3" s="30" t="s">
        <v>516</v>
      </c>
      <c r="F3" s="30" t="s">
        <v>385</v>
      </c>
      <c r="G3" s="30" t="s">
        <v>392</v>
      </c>
      <c r="H3" s="30" t="s">
        <v>393</v>
      </c>
      <c r="I3" s="30" t="s">
        <v>77</v>
      </c>
      <c r="J3" s="30" t="s">
        <v>387</v>
      </c>
      <c r="K3" s="30" t="s">
        <v>387</v>
      </c>
      <c r="L3" s="30">
        <v>100</v>
      </c>
      <c r="M3" s="30">
        <v>1700</v>
      </c>
      <c r="N3" s="31">
        <v>1.2195121951219513E-2</v>
      </c>
      <c r="O3" s="32">
        <f>(L3/100)*M3*N3*(20*AE3)</f>
        <v>3731.707317073171</v>
      </c>
      <c r="P3" s="35">
        <v>1389395.0424929177</v>
      </c>
      <c r="Q3" s="33">
        <v>300000</v>
      </c>
      <c r="R3" s="33">
        <f>IFERROR(P3*(L3/100),"-")</f>
        <v>1389395.0424929177</v>
      </c>
      <c r="S3" s="33">
        <f>IFERROR(Q3*(L3/100),"-")</f>
        <v>300000</v>
      </c>
      <c r="T3" s="32">
        <f>IFERROR((R3+S3)/(86*12),"-")</f>
        <v>1637.0107000900366</v>
      </c>
      <c r="U3" s="32">
        <f>O3-T3</f>
        <v>2094.6966169831344</v>
      </c>
      <c r="V3" s="34">
        <f>U3/O3</f>
        <v>0.56132393004123204</v>
      </c>
      <c r="W3" s="30" t="s">
        <v>388</v>
      </c>
      <c r="X3" s="30" t="s">
        <v>73</v>
      </c>
      <c r="Y3" s="30" t="s">
        <v>385</v>
      </c>
      <c r="Z3" s="30" t="s">
        <v>389</v>
      </c>
      <c r="AA3" s="30" t="s">
        <v>390</v>
      </c>
      <c r="AB3" s="30" t="s">
        <v>391</v>
      </c>
      <c r="AC3" s="30" t="s">
        <v>392</v>
      </c>
      <c r="AD3" s="30" t="s">
        <v>393</v>
      </c>
      <c r="AE3" s="30">
        <v>9</v>
      </c>
      <c r="AF3" s="30" t="s">
        <v>394</v>
      </c>
    </row>
    <row r="4" spans="1:32" hidden="1" x14ac:dyDescent="0.35">
      <c r="A4" s="30">
        <v>1102381</v>
      </c>
      <c r="B4" s="30" t="s">
        <v>347</v>
      </c>
      <c r="C4" s="30" t="s">
        <v>12</v>
      </c>
      <c r="D4" s="30" t="s">
        <v>513</v>
      </c>
      <c r="E4" s="30" t="s">
        <v>516</v>
      </c>
      <c r="F4" s="30" t="s">
        <v>385</v>
      </c>
      <c r="G4" s="30" t="s">
        <v>392</v>
      </c>
      <c r="H4" s="30" t="s">
        <v>393</v>
      </c>
      <c r="I4" s="30" t="s">
        <v>218</v>
      </c>
      <c r="J4" s="30" t="s">
        <v>387</v>
      </c>
      <c r="K4" s="30" t="s">
        <v>387</v>
      </c>
      <c r="L4" s="30">
        <v>100</v>
      </c>
      <c r="M4" s="30">
        <v>1400</v>
      </c>
      <c r="N4" s="31">
        <v>1.2195121951219513E-2</v>
      </c>
      <c r="O4" s="32">
        <f>(L4/100)*M4*N4*(20*AE4)</f>
        <v>3073.1707317073174</v>
      </c>
      <c r="P4" s="35">
        <v>1389395.0424929177</v>
      </c>
      <c r="Q4" s="33">
        <v>300000</v>
      </c>
      <c r="R4" s="33">
        <f>IFERROR(P4*(L4/100),"-")</f>
        <v>1389395.0424929177</v>
      </c>
      <c r="S4" s="33">
        <f>IFERROR(Q4*(L4/100),"-")</f>
        <v>300000</v>
      </c>
      <c r="T4" s="32">
        <f>IFERROR((R4+S4)/(86*12),"-")</f>
        <v>1637.0107000900366</v>
      </c>
      <c r="U4" s="32">
        <f>O4-T4</f>
        <v>1436.1600316172808</v>
      </c>
      <c r="V4" s="34">
        <f>U4/O4</f>
        <v>0.46732191505006748</v>
      </c>
      <c r="W4" s="30" t="s">
        <v>388</v>
      </c>
      <c r="X4" s="30" t="s">
        <v>73</v>
      </c>
      <c r="Y4" s="30" t="s">
        <v>385</v>
      </c>
      <c r="Z4" s="30" t="s">
        <v>389</v>
      </c>
      <c r="AA4" s="30" t="s">
        <v>390</v>
      </c>
      <c r="AB4" s="30" t="s">
        <v>391</v>
      </c>
      <c r="AC4" s="30" t="s">
        <v>392</v>
      </c>
      <c r="AD4" s="30" t="s">
        <v>393</v>
      </c>
      <c r="AE4" s="30">
        <v>9</v>
      </c>
      <c r="AF4" s="30" t="s">
        <v>394</v>
      </c>
    </row>
    <row r="5" spans="1:32" hidden="1" x14ac:dyDescent="0.35">
      <c r="A5" s="30">
        <v>1014127</v>
      </c>
      <c r="B5" s="30" t="s">
        <v>404</v>
      </c>
      <c r="C5" s="30" t="s">
        <v>12</v>
      </c>
      <c r="D5" s="30" t="s">
        <v>513</v>
      </c>
      <c r="E5" s="30" t="s">
        <v>517</v>
      </c>
      <c r="F5" s="30" t="s">
        <v>385</v>
      </c>
      <c r="G5" s="30" t="s">
        <v>392</v>
      </c>
      <c r="H5" s="30" t="s">
        <v>393</v>
      </c>
      <c r="I5" s="30" t="s">
        <v>77</v>
      </c>
      <c r="J5" s="30" t="s">
        <v>387</v>
      </c>
      <c r="K5" s="30" t="s">
        <v>387</v>
      </c>
      <c r="L5" s="30">
        <v>100</v>
      </c>
      <c r="M5" s="30">
        <v>1400</v>
      </c>
      <c r="N5" s="31">
        <v>1.2195121951219513E-2</v>
      </c>
      <c r="O5" s="32">
        <f>(L5/100)*M5*N5*(20*AE5)</f>
        <v>3073.1707317073174</v>
      </c>
      <c r="P5" s="33">
        <v>487704</v>
      </c>
      <c r="Q5" s="33">
        <v>300000</v>
      </c>
      <c r="R5" s="33">
        <f>IFERROR(P5*(L5/100),"-")</f>
        <v>487704</v>
      </c>
      <c r="S5" s="33">
        <f>IFERROR(Q5*(L5/100),"-")</f>
        <v>300000</v>
      </c>
      <c r="T5" s="32">
        <f>IFERROR((R5+S5)/(86*12),"-")</f>
        <v>763.27906976744191</v>
      </c>
      <c r="U5" s="32">
        <f>O5-T5</f>
        <v>2309.8916619398756</v>
      </c>
      <c r="V5" s="34">
        <f>U5/O5</f>
        <v>0.75163141380583243</v>
      </c>
      <c r="W5" s="30" t="s">
        <v>388</v>
      </c>
      <c r="X5" s="30" t="s">
        <v>73</v>
      </c>
      <c r="Y5" s="30" t="s">
        <v>385</v>
      </c>
      <c r="Z5" s="30" t="s">
        <v>389</v>
      </c>
      <c r="AA5" s="30" t="s">
        <v>390</v>
      </c>
      <c r="AB5" s="30" t="s">
        <v>391</v>
      </c>
      <c r="AC5" s="30" t="s">
        <v>392</v>
      </c>
      <c r="AD5" s="30" t="s">
        <v>393</v>
      </c>
      <c r="AE5" s="30">
        <v>9</v>
      </c>
      <c r="AF5" s="30" t="s">
        <v>394</v>
      </c>
    </row>
    <row r="6" spans="1:32" hidden="1" x14ac:dyDescent="0.35">
      <c r="A6" s="30">
        <v>1016125</v>
      </c>
      <c r="B6" s="30" t="s">
        <v>225</v>
      </c>
      <c r="C6" s="30" t="s">
        <v>12</v>
      </c>
      <c r="D6" s="30" t="s">
        <v>513</v>
      </c>
      <c r="E6" s="30" t="s">
        <v>517</v>
      </c>
      <c r="F6" s="30" t="s">
        <v>385</v>
      </c>
      <c r="G6" s="30" t="s">
        <v>392</v>
      </c>
      <c r="H6" s="30" t="s">
        <v>393</v>
      </c>
      <c r="I6" s="30" t="s">
        <v>77</v>
      </c>
      <c r="J6" s="30" t="s">
        <v>387</v>
      </c>
      <c r="K6" s="30" t="s">
        <v>387</v>
      </c>
      <c r="L6" s="30">
        <v>100</v>
      </c>
      <c r="M6" s="30">
        <v>1400</v>
      </c>
      <c r="N6" s="31">
        <v>1.2195121951219513E-2</v>
      </c>
      <c r="O6" s="32">
        <f>(L6/100)*M6*N6*(20*AE6)</f>
        <v>3073.1707317073174</v>
      </c>
      <c r="P6" s="33">
        <v>695604</v>
      </c>
      <c r="Q6" s="33">
        <v>300000</v>
      </c>
      <c r="R6" s="33">
        <f>IFERROR(P6*(L6/100),"-")</f>
        <v>695604</v>
      </c>
      <c r="S6" s="33">
        <f>IFERROR(Q6*(L6/100),"-")</f>
        <v>300000</v>
      </c>
      <c r="T6" s="32">
        <f>IFERROR((R6+S6)/(86*12),"-")</f>
        <v>964.73255813953483</v>
      </c>
      <c r="U6" s="32">
        <f>O6-T6</f>
        <v>2108.4381735677825</v>
      </c>
      <c r="V6" s="34">
        <f>U6/O6</f>
        <v>0.68607908822443708</v>
      </c>
      <c r="W6" s="30" t="s">
        <v>388</v>
      </c>
      <c r="X6" s="30" t="s">
        <v>73</v>
      </c>
      <c r="Y6" s="30" t="s">
        <v>385</v>
      </c>
      <c r="Z6" s="30" t="s">
        <v>389</v>
      </c>
      <c r="AA6" s="30" t="s">
        <v>390</v>
      </c>
      <c r="AB6" s="30" t="s">
        <v>391</v>
      </c>
      <c r="AC6" s="30" t="s">
        <v>392</v>
      </c>
      <c r="AD6" s="30" t="s">
        <v>393</v>
      </c>
      <c r="AE6" s="30">
        <v>9</v>
      </c>
      <c r="AF6" s="30" t="s">
        <v>394</v>
      </c>
    </row>
    <row r="7" spans="1:32" hidden="1" x14ac:dyDescent="0.35">
      <c r="A7" s="30">
        <v>1017632</v>
      </c>
      <c r="B7" s="30" t="s">
        <v>416</v>
      </c>
      <c r="C7" s="30" t="s">
        <v>12</v>
      </c>
      <c r="D7" s="30" t="s">
        <v>513</v>
      </c>
      <c r="E7" s="30" t="s">
        <v>520</v>
      </c>
      <c r="F7" s="30" t="s">
        <v>385</v>
      </c>
      <c r="G7" s="30" t="s">
        <v>511</v>
      </c>
      <c r="H7" s="30" t="s">
        <v>521</v>
      </c>
      <c r="I7" s="30" t="s">
        <v>417</v>
      </c>
      <c r="J7" s="30" t="s">
        <v>387</v>
      </c>
      <c r="K7" s="30" t="s">
        <v>387</v>
      </c>
      <c r="L7" s="30">
        <v>100</v>
      </c>
      <c r="M7" s="30">
        <v>1400</v>
      </c>
      <c r="N7" s="31">
        <v>1.2195121951219513E-2</v>
      </c>
      <c r="O7" s="32">
        <f>(L7/100)*M7*N7*(20*AE7)</f>
        <v>3073.1707317073174</v>
      </c>
      <c r="P7" s="33">
        <v>884508</v>
      </c>
      <c r="Q7" s="33">
        <v>300000</v>
      </c>
      <c r="R7" s="33">
        <f>IFERROR(P7*(L7/100),"-")</f>
        <v>884508</v>
      </c>
      <c r="S7" s="33">
        <f>IFERROR(Q7*(L7/100),"-")</f>
        <v>300000</v>
      </c>
      <c r="T7" s="32">
        <f>IFERROR((R7+S7)/(86*12),"-")</f>
        <v>1147.7790697674418</v>
      </c>
      <c r="U7" s="32">
        <f>O7-T7</f>
        <v>1925.3916619398756</v>
      </c>
      <c r="V7" s="34">
        <f>U7/O7</f>
        <v>0.62651633444075305</v>
      </c>
      <c r="W7" s="30" t="s">
        <v>388</v>
      </c>
      <c r="X7" s="30" t="s">
        <v>73</v>
      </c>
      <c r="Y7" s="30" t="s">
        <v>385</v>
      </c>
      <c r="Z7" s="30" t="s">
        <v>389</v>
      </c>
      <c r="AA7" s="30" t="s">
        <v>390</v>
      </c>
      <c r="AB7" s="30" t="s">
        <v>391</v>
      </c>
      <c r="AC7" s="30" t="s">
        <v>392</v>
      </c>
      <c r="AD7" s="30" t="s">
        <v>393</v>
      </c>
      <c r="AE7" s="30">
        <v>9</v>
      </c>
      <c r="AF7" s="30" t="s">
        <v>394</v>
      </c>
    </row>
    <row r="8" spans="1:32" hidden="1" x14ac:dyDescent="0.35">
      <c r="A8" s="30">
        <v>1016107</v>
      </c>
      <c r="B8" s="30" t="s">
        <v>420</v>
      </c>
      <c r="C8" s="30" t="s">
        <v>12</v>
      </c>
      <c r="D8" s="30" t="s">
        <v>513</v>
      </c>
      <c r="E8" s="30" t="s">
        <v>516</v>
      </c>
      <c r="F8" s="30" t="s">
        <v>385</v>
      </c>
      <c r="G8" s="30" t="s">
        <v>392</v>
      </c>
      <c r="H8" s="30" t="s">
        <v>393</v>
      </c>
      <c r="I8" s="30" t="s">
        <v>77</v>
      </c>
      <c r="J8" s="30" t="s">
        <v>387</v>
      </c>
      <c r="K8" s="30" t="s">
        <v>387</v>
      </c>
      <c r="L8" s="30">
        <v>100</v>
      </c>
      <c r="M8" s="30">
        <v>1400</v>
      </c>
      <c r="N8" s="31">
        <v>1.2195121951219513E-2</v>
      </c>
      <c r="O8" s="32">
        <f>(L8/100)*M8*N8*(20*AE8)</f>
        <v>3073.1707317073174</v>
      </c>
      <c r="P8" s="33">
        <v>956304</v>
      </c>
      <c r="Q8" s="33">
        <v>300000</v>
      </c>
      <c r="R8" s="33">
        <f>IFERROR(P8*(L8/100),"-")</f>
        <v>956304</v>
      </c>
      <c r="S8" s="33">
        <f>IFERROR(Q8*(L8/100),"-")</f>
        <v>300000</v>
      </c>
      <c r="T8" s="32">
        <f>IFERROR((R8+S8)/(86*12),"-")</f>
        <v>1217.3488372093022</v>
      </c>
      <c r="U8" s="32">
        <f>O8-T8</f>
        <v>1855.8218944980151</v>
      </c>
      <c r="V8" s="34">
        <f>U8/O8</f>
        <v>0.60387855297157633</v>
      </c>
      <c r="W8" s="30" t="s">
        <v>388</v>
      </c>
      <c r="X8" s="30" t="s">
        <v>73</v>
      </c>
      <c r="Y8" s="30" t="s">
        <v>385</v>
      </c>
      <c r="Z8" s="30" t="s">
        <v>389</v>
      </c>
      <c r="AA8" s="30" t="s">
        <v>390</v>
      </c>
      <c r="AB8" s="30" t="s">
        <v>391</v>
      </c>
      <c r="AC8" s="30" t="s">
        <v>392</v>
      </c>
      <c r="AD8" s="30" t="s">
        <v>393</v>
      </c>
      <c r="AE8" s="30">
        <v>9</v>
      </c>
      <c r="AF8" s="30" t="s">
        <v>394</v>
      </c>
    </row>
    <row r="9" spans="1:32" hidden="1" x14ac:dyDescent="0.35">
      <c r="A9" s="30">
        <v>1011367</v>
      </c>
      <c r="B9" s="30" t="s">
        <v>424</v>
      </c>
      <c r="C9" s="30" t="s">
        <v>12</v>
      </c>
      <c r="D9" s="30" t="s">
        <v>513</v>
      </c>
      <c r="E9" s="30" t="s">
        <v>517</v>
      </c>
      <c r="F9" s="30" t="s">
        <v>385</v>
      </c>
      <c r="G9" s="30" t="s">
        <v>511</v>
      </c>
      <c r="H9" s="30" t="s">
        <v>512</v>
      </c>
      <c r="I9" s="30" t="s">
        <v>386</v>
      </c>
      <c r="J9" s="30" t="s">
        <v>387</v>
      </c>
      <c r="K9" s="30" t="s">
        <v>387</v>
      </c>
      <c r="L9" s="30">
        <v>100</v>
      </c>
      <c r="M9" s="30">
        <v>1400</v>
      </c>
      <c r="N9" s="31">
        <v>1.2195121951219513E-2</v>
      </c>
      <c r="O9" s="32">
        <f>(L9/100)*M9*N9*(20*AE9)</f>
        <v>3073.1707317073174</v>
      </c>
      <c r="P9" s="33">
        <v>1100004</v>
      </c>
      <c r="Q9" s="33">
        <v>300000</v>
      </c>
      <c r="R9" s="33">
        <f>IFERROR(P9*(L9/100),"-")</f>
        <v>1100004</v>
      </c>
      <c r="S9" s="33">
        <f>IFERROR(Q9*(L9/100),"-")</f>
        <v>300000</v>
      </c>
      <c r="T9" s="32">
        <f>IFERROR((R9+S9)/(86*12),"-")</f>
        <v>1356.5930232558139</v>
      </c>
      <c r="U9" s="32">
        <f>O9-T9</f>
        <v>1716.5777084515034</v>
      </c>
      <c r="V9" s="34">
        <f>U9/O9</f>
        <v>0.55856893687707643</v>
      </c>
      <c r="W9" s="30" t="s">
        <v>388</v>
      </c>
      <c r="X9" s="30" t="s">
        <v>73</v>
      </c>
      <c r="Y9" s="30" t="s">
        <v>385</v>
      </c>
      <c r="Z9" s="30" t="s">
        <v>389</v>
      </c>
      <c r="AA9" s="30" t="s">
        <v>390</v>
      </c>
      <c r="AB9" s="30" t="s">
        <v>391</v>
      </c>
      <c r="AC9" s="30" t="s">
        <v>392</v>
      </c>
      <c r="AD9" s="30" t="s">
        <v>393</v>
      </c>
      <c r="AE9" s="30">
        <v>9</v>
      </c>
      <c r="AF9" s="30" t="s">
        <v>394</v>
      </c>
    </row>
    <row r="10" spans="1:32" hidden="1" x14ac:dyDescent="0.35">
      <c r="A10" s="30">
        <v>1100645</v>
      </c>
      <c r="B10" s="30" t="s">
        <v>425</v>
      </c>
      <c r="C10" s="30" t="s">
        <v>12</v>
      </c>
      <c r="D10" s="30" t="s">
        <v>513</v>
      </c>
      <c r="E10" s="30" t="s">
        <v>523</v>
      </c>
      <c r="F10" s="30" t="s">
        <v>385</v>
      </c>
      <c r="G10" s="30" t="s">
        <v>511</v>
      </c>
      <c r="H10" s="30" t="s">
        <v>512</v>
      </c>
      <c r="I10" s="30" t="s">
        <v>386</v>
      </c>
      <c r="J10" s="30" t="s">
        <v>387</v>
      </c>
      <c r="K10" s="30" t="s">
        <v>387</v>
      </c>
      <c r="L10" s="30">
        <v>100</v>
      </c>
      <c r="M10" s="30">
        <v>1400</v>
      </c>
      <c r="N10" s="31">
        <v>1.2195121951219513E-2</v>
      </c>
      <c r="O10" s="32">
        <f>(L10/100)*M10*N10*(20*AE10)</f>
        <v>3073.1707317073174</v>
      </c>
      <c r="P10" s="33">
        <v>1100004</v>
      </c>
      <c r="Q10" s="33">
        <v>300000</v>
      </c>
      <c r="R10" s="33">
        <f>IFERROR(P10*(L10/100),"-")</f>
        <v>1100004</v>
      </c>
      <c r="S10" s="33">
        <f>IFERROR(Q10*(L10/100),"-")</f>
        <v>300000</v>
      </c>
      <c r="T10" s="32">
        <f>IFERROR((R10+S10)/(86*12),"-")</f>
        <v>1356.5930232558139</v>
      </c>
      <c r="U10" s="32">
        <f>O10-T10</f>
        <v>1716.5777084515034</v>
      </c>
      <c r="V10" s="34">
        <f>U10/O10</f>
        <v>0.55856893687707643</v>
      </c>
      <c r="W10" s="30" t="s">
        <v>388</v>
      </c>
      <c r="X10" s="30" t="s">
        <v>73</v>
      </c>
      <c r="Y10" s="30" t="s">
        <v>385</v>
      </c>
      <c r="Z10" s="30" t="s">
        <v>389</v>
      </c>
      <c r="AA10" s="30" t="s">
        <v>390</v>
      </c>
      <c r="AB10" s="30" t="s">
        <v>391</v>
      </c>
      <c r="AC10" s="30" t="s">
        <v>392</v>
      </c>
      <c r="AD10" s="30" t="s">
        <v>393</v>
      </c>
      <c r="AE10" s="30">
        <v>9</v>
      </c>
      <c r="AF10" s="30" t="s">
        <v>394</v>
      </c>
    </row>
    <row r="11" spans="1:32" hidden="1" x14ac:dyDescent="0.35">
      <c r="A11" s="30">
        <v>1017087</v>
      </c>
      <c r="B11" s="30" t="s">
        <v>429</v>
      </c>
      <c r="C11" s="30" t="s">
        <v>12</v>
      </c>
      <c r="D11" s="30" t="s">
        <v>513</v>
      </c>
      <c r="E11" s="30" t="s">
        <v>516</v>
      </c>
      <c r="F11" s="30" t="s">
        <v>385</v>
      </c>
      <c r="G11" s="30" t="s">
        <v>392</v>
      </c>
      <c r="H11" s="30" t="s">
        <v>393</v>
      </c>
      <c r="I11" s="30" t="s">
        <v>77</v>
      </c>
      <c r="J11" s="30" t="s">
        <v>387</v>
      </c>
      <c r="K11" s="30" t="s">
        <v>387</v>
      </c>
      <c r="L11" s="30">
        <v>100</v>
      </c>
      <c r="M11" s="30">
        <v>1200</v>
      </c>
      <c r="N11" s="31">
        <v>1.2195121951219513E-2</v>
      </c>
      <c r="O11" s="32">
        <f>(L11/100)*M11*N11*(20*AE11)</f>
        <v>2634.146341463415</v>
      </c>
      <c r="P11" s="33">
        <v>1146804</v>
      </c>
      <c r="Q11" s="33">
        <v>300000</v>
      </c>
      <c r="R11" s="33">
        <f>IFERROR(P11*(L11/100),"-")</f>
        <v>1146804</v>
      </c>
      <c r="S11" s="33">
        <f>IFERROR(Q11*(L11/100),"-")</f>
        <v>300000</v>
      </c>
      <c r="T11" s="32">
        <f>IFERROR((R11+S11)/(86*12),"-")</f>
        <v>1401.9418604651162</v>
      </c>
      <c r="U11" s="32">
        <f>O11-T11</f>
        <v>1232.2044809982988</v>
      </c>
      <c r="V11" s="34">
        <f>U11/O11</f>
        <v>0.46778133074935413</v>
      </c>
      <c r="W11" s="30" t="s">
        <v>388</v>
      </c>
      <c r="X11" s="30" t="s">
        <v>73</v>
      </c>
      <c r="Y11" s="30" t="s">
        <v>385</v>
      </c>
      <c r="Z11" s="30" t="s">
        <v>389</v>
      </c>
      <c r="AA11" s="30" t="s">
        <v>390</v>
      </c>
      <c r="AB11" s="30" t="s">
        <v>391</v>
      </c>
      <c r="AC11" s="30" t="s">
        <v>392</v>
      </c>
      <c r="AD11" s="30" t="s">
        <v>393</v>
      </c>
      <c r="AE11" s="30">
        <v>9</v>
      </c>
      <c r="AF11" s="30" t="s">
        <v>394</v>
      </c>
    </row>
    <row r="12" spans="1:32" hidden="1" x14ac:dyDescent="0.35">
      <c r="A12" s="30">
        <v>1100745</v>
      </c>
      <c r="B12" s="30" t="s">
        <v>431</v>
      </c>
      <c r="C12" s="30" t="s">
        <v>12</v>
      </c>
      <c r="D12" s="30" t="s">
        <v>513</v>
      </c>
      <c r="E12" s="30" t="s">
        <v>516</v>
      </c>
      <c r="F12" s="30" t="s">
        <v>385</v>
      </c>
      <c r="G12" s="30" t="s">
        <v>392</v>
      </c>
      <c r="H12" s="30" t="s">
        <v>393</v>
      </c>
      <c r="I12" s="30" t="s">
        <v>77</v>
      </c>
      <c r="J12" s="30" t="s">
        <v>387</v>
      </c>
      <c r="K12" s="30" t="s">
        <v>387</v>
      </c>
      <c r="L12" s="30">
        <v>100</v>
      </c>
      <c r="M12" s="30">
        <v>1200</v>
      </c>
      <c r="N12" s="31">
        <v>1.2195121951219513E-2</v>
      </c>
      <c r="O12" s="32">
        <f>(L12/100)*M12*N12*(20*AE12)</f>
        <v>2634.146341463415</v>
      </c>
      <c r="P12" s="33">
        <v>1200000</v>
      </c>
      <c r="Q12" s="33">
        <v>300000</v>
      </c>
      <c r="R12" s="33">
        <f>IFERROR(P12*(L12/100),"-")</f>
        <v>1200000</v>
      </c>
      <c r="S12" s="33">
        <f>IFERROR(Q12*(L12/100),"-")</f>
        <v>300000</v>
      </c>
      <c r="T12" s="32">
        <f>IFERROR((R12+S12)/(86*12),"-")</f>
        <v>1453.4883720930231</v>
      </c>
      <c r="U12" s="32">
        <f>O12-T12</f>
        <v>1180.6579693703918</v>
      </c>
      <c r="V12" s="34">
        <f>U12/O12</f>
        <v>0.44821274763135238</v>
      </c>
      <c r="W12" s="30" t="s">
        <v>388</v>
      </c>
      <c r="X12" s="30" t="s">
        <v>73</v>
      </c>
      <c r="Y12" s="30" t="s">
        <v>385</v>
      </c>
      <c r="Z12" s="30" t="s">
        <v>389</v>
      </c>
      <c r="AA12" s="30" t="s">
        <v>390</v>
      </c>
      <c r="AB12" s="30" t="s">
        <v>391</v>
      </c>
      <c r="AC12" s="30" t="s">
        <v>392</v>
      </c>
      <c r="AD12" s="30" t="s">
        <v>393</v>
      </c>
      <c r="AE12" s="30">
        <v>9</v>
      </c>
      <c r="AF12" s="30" t="s">
        <v>394</v>
      </c>
    </row>
    <row r="13" spans="1:32" hidden="1" x14ac:dyDescent="0.35">
      <c r="A13" s="30">
        <v>1015565</v>
      </c>
      <c r="B13" s="30" t="s">
        <v>126</v>
      </c>
      <c r="C13" s="30" t="s">
        <v>12</v>
      </c>
      <c r="D13" s="30" t="s">
        <v>513</v>
      </c>
      <c r="E13" s="30" t="s">
        <v>516</v>
      </c>
      <c r="F13" s="30" t="s">
        <v>385</v>
      </c>
      <c r="G13" s="30" t="s">
        <v>392</v>
      </c>
      <c r="H13" s="30" t="s">
        <v>393</v>
      </c>
      <c r="I13" s="30" t="s">
        <v>34</v>
      </c>
      <c r="J13" s="30" t="s">
        <v>387</v>
      </c>
      <c r="K13" s="30" t="s">
        <v>387</v>
      </c>
      <c r="L13" s="30">
        <v>100</v>
      </c>
      <c r="M13" s="30">
        <v>1700</v>
      </c>
      <c r="N13" s="31">
        <v>1.2195121951219513E-2</v>
      </c>
      <c r="O13" s="32">
        <f>(L13/100)*M13*N13*(20*AE13)</f>
        <v>3731.707317073171</v>
      </c>
      <c r="P13" s="33">
        <v>1201008</v>
      </c>
      <c r="Q13" s="33">
        <v>300000</v>
      </c>
      <c r="R13" s="33">
        <f>IFERROR(P13*(L13/100),"-")</f>
        <v>1201008</v>
      </c>
      <c r="S13" s="33">
        <f>IFERROR(Q13*(L13/100),"-")</f>
        <v>300000</v>
      </c>
      <c r="T13" s="32">
        <f>IFERROR((R13+S13)/(86*12),"-")</f>
        <v>1454.4651162790697</v>
      </c>
      <c r="U13" s="32">
        <f>O13-T13</f>
        <v>2277.2422007941013</v>
      </c>
      <c r="V13" s="34">
        <f>U13/O13</f>
        <v>0.61024137406900747</v>
      </c>
      <c r="W13" s="30" t="s">
        <v>388</v>
      </c>
      <c r="X13" s="30" t="s">
        <v>73</v>
      </c>
      <c r="Y13" s="30" t="s">
        <v>385</v>
      </c>
      <c r="Z13" s="30" t="s">
        <v>389</v>
      </c>
      <c r="AA13" s="30" t="s">
        <v>390</v>
      </c>
      <c r="AB13" s="30" t="s">
        <v>391</v>
      </c>
      <c r="AC13" s="30" t="s">
        <v>392</v>
      </c>
      <c r="AD13" s="30" t="s">
        <v>393</v>
      </c>
      <c r="AE13" s="30">
        <v>9</v>
      </c>
      <c r="AF13" s="30" t="s">
        <v>394</v>
      </c>
    </row>
    <row r="14" spans="1:32" hidden="1" x14ac:dyDescent="0.35">
      <c r="A14" s="30">
        <v>1100770</v>
      </c>
      <c r="B14" s="30" t="s">
        <v>446</v>
      </c>
      <c r="C14" s="30" t="s">
        <v>12</v>
      </c>
      <c r="D14" s="30" t="s">
        <v>513</v>
      </c>
      <c r="E14" s="30" t="s">
        <v>514</v>
      </c>
      <c r="F14" s="30" t="s">
        <v>385</v>
      </c>
      <c r="G14" s="30" t="s">
        <v>511</v>
      </c>
      <c r="H14" s="30" t="s">
        <v>512</v>
      </c>
      <c r="I14" s="30" t="s">
        <v>386</v>
      </c>
      <c r="J14" s="30" t="s">
        <v>387</v>
      </c>
      <c r="K14" s="30" t="s">
        <v>387</v>
      </c>
      <c r="L14" s="30">
        <v>100</v>
      </c>
      <c r="M14" s="30">
        <v>1400</v>
      </c>
      <c r="N14" s="31">
        <v>1.2195121951219513E-2</v>
      </c>
      <c r="O14" s="32">
        <f>(L14/100)*M14*N14*(20*AE14)</f>
        <v>3073.1707317073174</v>
      </c>
      <c r="P14" s="33">
        <v>1400004</v>
      </c>
      <c r="Q14" s="33">
        <v>300000</v>
      </c>
      <c r="R14" s="33">
        <f>IFERROR(P14*(L14/100),"-")</f>
        <v>1400004</v>
      </c>
      <c r="S14" s="33">
        <f>IFERROR(Q14*(L14/100),"-")</f>
        <v>300000</v>
      </c>
      <c r="T14" s="32">
        <f>IFERROR((R14+S14)/(86*12),"-")</f>
        <v>1647.2906976744187</v>
      </c>
      <c r="U14" s="32">
        <f>O14-T14</f>
        <v>1425.8800340328987</v>
      </c>
      <c r="V14" s="34">
        <f>U14/O14</f>
        <v>0.46397683647102256</v>
      </c>
      <c r="W14" s="30" t="s">
        <v>388</v>
      </c>
      <c r="X14" s="30" t="s">
        <v>73</v>
      </c>
      <c r="Y14" s="30" t="s">
        <v>385</v>
      </c>
      <c r="Z14" s="30" t="s">
        <v>389</v>
      </c>
      <c r="AA14" s="30" t="s">
        <v>390</v>
      </c>
      <c r="AB14" s="30" t="s">
        <v>391</v>
      </c>
      <c r="AC14" s="30" t="s">
        <v>392</v>
      </c>
      <c r="AD14" s="30" t="s">
        <v>393</v>
      </c>
      <c r="AE14" s="30">
        <v>9</v>
      </c>
      <c r="AF14" s="30" t="s">
        <v>394</v>
      </c>
    </row>
    <row r="15" spans="1:32" hidden="1" x14ac:dyDescent="0.35">
      <c r="A15" s="30">
        <v>1101306</v>
      </c>
      <c r="B15" s="30" t="s">
        <v>278</v>
      </c>
      <c r="C15" s="30" t="s">
        <v>12</v>
      </c>
      <c r="D15" s="30" t="s">
        <v>513</v>
      </c>
      <c r="E15" s="30" t="s">
        <v>514</v>
      </c>
      <c r="F15" s="30" t="s">
        <v>385</v>
      </c>
      <c r="G15" s="30" t="s">
        <v>511</v>
      </c>
      <c r="H15" s="30" t="s">
        <v>512</v>
      </c>
      <c r="I15" s="30" t="s">
        <v>386</v>
      </c>
      <c r="J15" s="30" t="s">
        <v>387</v>
      </c>
      <c r="K15" s="30" t="s">
        <v>387</v>
      </c>
      <c r="L15" s="30">
        <v>100</v>
      </c>
      <c r="M15" s="30">
        <v>1700</v>
      </c>
      <c r="N15" s="31">
        <v>1.2195121951219513E-2</v>
      </c>
      <c r="O15" s="32">
        <f>(L15/100)*M15*N15*(20*AE15)</f>
        <v>3731.707317073171</v>
      </c>
      <c r="P15" s="33">
        <v>1400004</v>
      </c>
      <c r="Q15" s="33">
        <v>300000</v>
      </c>
      <c r="R15" s="33">
        <f>IFERROR(P15*(L15/100),"-")</f>
        <v>1400004</v>
      </c>
      <c r="S15" s="33">
        <f>IFERROR(Q15*(L15/100),"-")</f>
        <v>300000</v>
      </c>
      <c r="T15" s="32">
        <f>IFERROR((R15+S15)/(86*12),"-")</f>
        <v>1647.2906976744187</v>
      </c>
      <c r="U15" s="32">
        <f>O15-T15</f>
        <v>2084.4166193987521</v>
      </c>
      <c r="V15" s="34">
        <f>U15/O15</f>
        <v>0.55856915944672436</v>
      </c>
      <c r="W15" s="30" t="s">
        <v>388</v>
      </c>
      <c r="X15" s="30" t="s">
        <v>73</v>
      </c>
      <c r="Y15" s="30" t="s">
        <v>385</v>
      </c>
      <c r="Z15" s="30" t="s">
        <v>389</v>
      </c>
      <c r="AA15" s="30" t="s">
        <v>390</v>
      </c>
      <c r="AB15" s="30" t="s">
        <v>391</v>
      </c>
      <c r="AC15" s="30" t="s">
        <v>392</v>
      </c>
      <c r="AD15" s="30" t="s">
        <v>393</v>
      </c>
      <c r="AE15" s="30">
        <v>9</v>
      </c>
      <c r="AF15" s="30" t="s">
        <v>394</v>
      </c>
    </row>
    <row r="16" spans="1:32" hidden="1" x14ac:dyDescent="0.35">
      <c r="A16" s="30">
        <v>1012437</v>
      </c>
      <c r="B16" s="30" t="s">
        <v>450</v>
      </c>
      <c r="C16" s="30" t="s">
        <v>12</v>
      </c>
      <c r="D16" s="30" t="s">
        <v>513</v>
      </c>
      <c r="E16" s="30" t="s">
        <v>516</v>
      </c>
      <c r="F16" s="30" t="s">
        <v>385</v>
      </c>
      <c r="G16" s="30" t="s">
        <v>392</v>
      </c>
      <c r="H16" s="30" t="s">
        <v>393</v>
      </c>
      <c r="I16" s="30" t="s">
        <v>77</v>
      </c>
      <c r="J16" s="30" t="s">
        <v>387</v>
      </c>
      <c r="K16" s="30" t="s">
        <v>387</v>
      </c>
      <c r="L16" s="30">
        <v>100</v>
      </c>
      <c r="M16" s="30">
        <v>1200</v>
      </c>
      <c r="N16" s="31">
        <v>1.2195121951219513E-2</v>
      </c>
      <c r="O16" s="32">
        <f>(L16/100)*M16*N16*(20*AE16)</f>
        <v>2634.146341463415</v>
      </c>
      <c r="P16" s="33">
        <v>1401204</v>
      </c>
      <c r="Q16" s="33">
        <v>300000</v>
      </c>
      <c r="R16" s="33">
        <f>IFERROR(P16*(L16/100),"-")</f>
        <v>1401204</v>
      </c>
      <c r="S16" s="33">
        <f>IFERROR(Q16*(L16/100),"-")</f>
        <v>300000</v>
      </c>
      <c r="T16" s="32">
        <f>IFERROR((R16+S16)/(86*12),"-")</f>
        <v>1648.453488372093</v>
      </c>
      <c r="U16" s="32">
        <f>O16-T16</f>
        <v>985.69285309132192</v>
      </c>
      <c r="V16" s="34">
        <f>U16/O16</f>
        <v>0.37419821274763143</v>
      </c>
      <c r="W16" s="30" t="s">
        <v>388</v>
      </c>
      <c r="X16" s="30" t="s">
        <v>73</v>
      </c>
      <c r="Y16" s="30" t="s">
        <v>385</v>
      </c>
      <c r="Z16" s="30" t="s">
        <v>389</v>
      </c>
      <c r="AA16" s="30" t="s">
        <v>390</v>
      </c>
      <c r="AB16" s="30" t="s">
        <v>391</v>
      </c>
      <c r="AC16" s="30" t="s">
        <v>392</v>
      </c>
      <c r="AD16" s="30" t="s">
        <v>393</v>
      </c>
      <c r="AE16" s="30">
        <v>9</v>
      </c>
      <c r="AF16" s="30" t="s">
        <v>394</v>
      </c>
    </row>
    <row r="17" spans="1:32" hidden="1" x14ac:dyDescent="0.35">
      <c r="A17" s="30">
        <v>1101521</v>
      </c>
      <c r="B17" s="30" t="s">
        <v>291</v>
      </c>
      <c r="C17" s="30" t="s">
        <v>12</v>
      </c>
      <c r="D17" s="30" t="s">
        <v>513</v>
      </c>
      <c r="E17" s="30" t="s">
        <v>514</v>
      </c>
      <c r="F17" s="30" t="s">
        <v>385</v>
      </c>
      <c r="G17" s="30" t="s">
        <v>511</v>
      </c>
      <c r="H17" s="30" t="s">
        <v>512</v>
      </c>
      <c r="I17" s="30" t="s">
        <v>386</v>
      </c>
      <c r="J17" s="30" t="s">
        <v>387</v>
      </c>
      <c r="K17" s="30" t="s">
        <v>387</v>
      </c>
      <c r="L17" s="30">
        <v>100</v>
      </c>
      <c r="M17" s="30">
        <v>1400</v>
      </c>
      <c r="N17" s="31">
        <v>1.2195121951219513E-2</v>
      </c>
      <c r="O17" s="32">
        <f>(L17/100)*M17*N17*(20*AE17)</f>
        <v>3073.1707317073174</v>
      </c>
      <c r="P17" s="33">
        <v>1450008</v>
      </c>
      <c r="Q17" s="33">
        <v>300000</v>
      </c>
      <c r="R17" s="33">
        <f>IFERROR(P17*(L17/100),"-")</f>
        <v>1450008</v>
      </c>
      <c r="S17" s="33">
        <f>IFERROR(Q17*(L17/100),"-")</f>
        <v>300000</v>
      </c>
      <c r="T17" s="32">
        <f>IFERROR((R17+S17)/(86*12),"-")</f>
        <v>1695.7441860465117</v>
      </c>
      <c r="U17" s="32">
        <f>O17-T17</f>
        <v>1377.4265456608057</v>
      </c>
      <c r="V17" s="34">
        <f>U17/O17</f>
        <v>0.44821022517534148</v>
      </c>
      <c r="W17" s="30" t="s">
        <v>388</v>
      </c>
      <c r="X17" s="30" t="s">
        <v>73</v>
      </c>
      <c r="Y17" s="30" t="s">
        <v>385</v>
      </c>
      <c r="Z17" s="30" t="s">
        <v>389</v>
      </c>
      <c r="AA17" s="30" t="s">
        <v>390</v>
      </c>
      <c r="AB17" s="30" t="s">
        <v>391</v>
      </c>
      <c r="AC17" s="30" t="s">
        <v>392</v>
      </c>
      <c r="AD17" s="30" t="s">
        <v>393</v>
      </c>
      <c r="AE17" s="30">
        <v>9</v>
      </c>
      <c r="AF17" s="30" t="s">
        <v>394</v>
      </c>
    </row>
    <row r="18" spans="1:32" hidden="1" x14ac:dyDescent="0.35">
      <c r="A18" s="30">
        <v>1015086</v>
      </c>
      <c r="B18" s="30" t="s">
        <v>452</v>
      </c>
      <c r="C18" s="30" t="s">
        <v>12</v>
      </c>
      <c r="D18" s="30" t="s">
        <v>513</v>
      </c>
      <c r="E18" s="30" t="s">
        <v>516</v>
      </c>
      <c r="F18" s="30" t="s">
        <v>385</v>
      </c>
      <c r="G18" s="30" t="s">
        <v>511</v>
      </c>
      <c r="H18" s="30" t="s">
        <v>522</v>
      </c>
      <c r="I18" s="30" t="s">
        <v>418</v>
      </c>
      <c r="J18" s="30" t="s">
        <v>387</v>
      </c>
      <c r="K18" s="30" t="s">
        <v>387</v>
      </c>
      <c r="L18" s="30">
        <v>100</v>
      </c>
      <c r="M18" s="30">
        <v>1800</v>
      </c>
      <c r="N18" s="31">
        <v>1.2195121951219513E-2</v>
      </c>
      <c r="O18" s="32">
        <f>(L18/100)*M18*N18*(20*AE18)</f>
        <v>3951.2195121951222</v>
      </c>
      <c r="P18" s="33">
        <v>1456800</v>
      </c>
      <c r="Q18" s="33">
        <v>300000</v>
      </c>
      <c r="R18" s="33">
        <f>IFERROR(P18*(L18/100),"-")</f>
        <v>1456800</v>
      </c>
      <c r="S18" s="33">
        <f>IFERROR(Q18*(L18/100),"-")</f>
        <v>300000</v>
      </c>
      <c r="T18" s="32">
        <f>IFERROR((R18+S18)/(86*12),"-")</f>
        <v>1702.3255813953488</v>
      </c>
      <c r="U18" s="32">
        <f>O18-T18</f>
        <v>2248.8939307997734</v>
      </c>
      <c r="V18" s="34">
        <f>U18/O18</f>
        <v>0.56916451335055995</v>
      </c>
      <c r="W18" s="30" t="s">
        <v>388</v>
      </c>
      <c r="X18" s="30" t="s">
        <v>73</v>
      </c>
      <c r="Y18" s="30" t="s">
        <v>385</v>
      </c>
      <c r="Z18" s="30" t="s">
        <v>389</v>
      </c>
      <c r="AA18" s="30" t="s">
        <v>390</v>
      </c>
      <c r="AB18" s="30" t="s">
        <v>391</v>
      </c>
      <c r="AC18" s="30" t="s">
        <v>392</v>
      </c>
      <c r="AD18" s="30" t="s">
        <v>393</v>
      </c>
      <c r="AE18" s="30">
        <v>9</v>
      </c>
      <c r="AF18" s="30" t="s">
        <v>394</v>
      </c>
    </row>
    <row r="19" spans="1:32" hidden="1" x14ac:dyDescent="0.35">
      <c r="A19" s="30">
        <v>1100583</v>
      </c>
      <c r="B19" s="30" t="s">
        <v>454</v>
      </c>
      <c r="C19" s="30" t="s">
        <v>12</v>
      </c>
      <c r="D19" s="30" t="s">
        <v>513</v>
      </c>
      <c r="E19" s="30" t="s">
        <v>516</v>
      </c>
      <c r="F19" s="30" t="s">
        <v>385</v>
      </c>
      <c r="G19" s="30" t="s">
        <v>392</v>
      </c>
      <c r="H19" s="30" t="s">
        <v>393</v>
      </c>
      <c r="I19" s="30" t="s">
        <v>77</v>
      </c>
      <c r="J19" s="30" t="s">
        <v>387</v>
      </c>
      <c r="K19" s="30" t="s">
        <v>387</v>
      </c>
      <c r="L19" s="30">
        <v>100</v>
      </c>
      <c r="M19" s="30">
        <v>1400</v>
      </c>
      <c r="N19" s="31">
        <v>1.2195121951219513E-2</v>
      </c>
      <c r="O19" s="32">
        <f>(L19/100)*M19*N19*(20*AE19)</f>
        <v>3073.1707317073174</v>
      </c>
      <c r="P19" s="33">
        <v>1500000</v>
      </c>
      <c r="Q19" s="33">
        <v>300000</v>
      </c>
      <c r="R19" s="33">
        <f>IFERROR(P19*(L19/100),"-")</f>
        <v>1500000</v>
      </c>
      <c r="S19" s="33">
        <f>IFERROR(Q19*(L19/100),"-")</f>
        <v>300000</v>
      </c>
      <c r="T19" s="32">
        <f>IFERROR((R19+S19)/(86*12),"-")</f>
        <v>1744.1860465116279</v>
      </c>
      <c r="U19" s="32">
        <f>O19-T19</f>
        <v>1328.9846851956895</v>
      </c>
      <c r="V19" s="34">
        <f>U19/O19</f>
        <v>0.43244739756367673</v>
      </c>
      <c r="W19" s="30" t="s">
        <v>388</v>
      </c>
      <c r="X19" s="30" t="s">
        <v>73</v>
      </c>
      <c r="Y19" s="30" t="s">
        <v>385</v>
      </c>
      <c r="Z19" s="30" t="s">
        <v>389</v>
      </c>
      <c r="AA19" s="30" t="s">
        <v>390</v>
      </c>
      <c r="AB19" s="30" t="s">
        <v>391</v>
      </c>
      <c r="AC19" s="30" t="s">
        <v>392</v>
      </c>
      <c r="AD19" s="30" t="s">
        <v>393</v>
      </c>
      <c r="AE19" s="30">
        <v>9</v>
      </c>
      <c r="AF19" s="30" t="s">
        <v>394</v>
      </c>
    </row>
    <row r="20" spans="1:32" hidden="1" x14ac:dyDescent="0.35">
      <c r="A20" s="30">
        <v>1015881</v>
      </c>
      <c r="B20" s="30" t="s">
        <v>459</v>
      </c>
      <c r="C20" s="30" t="s">
        <v>12</v>
      </c>
      <c r="D20" s="30" t="s">
        <v>513</v>
      </c>
      <c r="E20" s="30" t="s">
        <v>516</v>
      </c>
      <c r="F20" s="30" t="s">
        <v>385</v>
      </c>
      <c r="G20" s="30" t="s">
        <v>392</v>
      </c>
      <c r="H20" s="30" t="s">
        <v>393</v>
      </c>
      <c r="I20" s="30" t="s">
        <v>34</v>
      </c>
      <c r="J20" s="30" t="s">
        <v>387</v>
      </c>
      <c r="K20" s="30" t="s">
        <v>387</v>
      </c>
      <c r="L20" s="30">
        <v>100</v>
      </c>
      <c r="M20" s="30">
        <v>1700</v>
      </c>
      <c r="N20" s="31">
        <v>1.2195121951219513E-2</v>
      </c>
      <c r="O20" s="32">
        <f>(L20/100)*M20*N20*(20*AE20)</f>
        <v>3731.707317073171</v>
      </c>
      <c r="P20" s="33">
        <v>1521900</v>
      </c>
      <c r="Q20" s="33">
        <v>300000</v>
      </c>
      <c r="R20" s="33">
        <f>IFERROR(P20*(L20/100),"-")</f>
        <v>1521900</v>
      </c>
      <c r="S20" s="33">
        <f>IFERROR(Q20*(L20/100),"-")</f>
        <v>300000</v>
      </c>
      <c r="T20" s="32">
        <f>IFERROR((R20+S20)/(86*12),"-")</f>
        <v>1765.4069767441861</v>
      </c>
      <c r="U20" s="32">
        <f>O20-T20</f>
        <v>1966.3003403289849</v>
      </c>
      <c r="V20" s="34">
        <f>U20/O20</f>
        <v>0.52691708466332277</v>
      </c>
      <c r="W20" s="30" t="s">
        <v>388</v>
      </c>
      <c r="X20" s="30" t="s">
        <v>73</v>
      </c>
      <c r="Y20" s="30" t="s">
        <v>385</v>
      </c>
      <c r="Z20" s="30" t="s">
        <v>389</v>
      </c>
      <c r="AA20" s="30" t="s">
        <v>390</v>
      </c>
      <c r="AB20" s="30" t="s">
        <v>391</v>
      </c>
      <c r="AC20" s="30" t="s">
        <v>392</v>
      </c>
      <c r="AD20" s="30" t="s">
        <v>393</v>
      </c>
      <c r="AE20" s="30">
        <v>9</v>
      </c>
      <c r="AF20" s="30" t="s">
        <v>394</v>
      </c>
    </row>
    <row r="21" spans="1:32" hidden="1" x14ac:dyDescent="0.35">
      <c r="A21" s="30">
        <v>1016717</v>
      </c>
      <c r="B21" s="30" t="s">
        <v>251</v>
      </c>
      <c r="C21" s="30" t="s">
        <v>12</v>
      </c>
      <c r="D21" s="30" t="s">
        <v>513</v>
      </c>
      <c r="E21" s="30" t="s">
        <v>516</v>
      </c>
      <c r="F21" s="30" t="s">
        <v>385</v>
      </c>
      <c r="G21" s="30" t="s">
        <v>392</v>
      </c>
      <c r="H21" s="30" t="s">
        <v>393</v>
      </c>
      <c r="I21" s="30" t="s">
        <v>77</v>
      </c>
      <c r="J21" s="30" t="s">
        <v>387</v>
      </c>
      <c r="K21" s="30" t="s">
        <v>387</v>
      </c>
      <c r="L21" s="30">
        <v>100</v>
      </c>
      <c r="M21" s="30">
        <v>1400</v>
      </c>
      <c r="N21" s="31">
        <v>1.2195121951219513E-2</v>
      </c>
      <c r="O21" s="32">
        <f>(L21/100)*M21*N21*(20*AE21)</f>
        <v>3073.1707317073174</v>
      </c>
      <c r="P21" s="33">
        <v>1545000</v>
      </c>
      <c r="Q21" s="33">
        <v>300000</v>
      </c>
      <c r="R21" s="33">
        <f>IFERROR(P21*(L21/100),"-")</f>
        <v>1545000</v>
      </c>
      <c r="S21" s="33">
        <f>IFERROR(Q21*(L21/100),"-")</f>
        <v>300000</v>
      </c>
      <c r="T21" s="32">
        <f>IFERROR((R21+S21)/(86*12),"-")</f>
        <v>1787.7906976744187</v>
      </c>
      <c r="U21" s="32">
        <f>O21-T21</f>
        <v>1285.3800340328987</v>
      </c>
      <c r="V21" s="34">
        <f>U21/O21</f>
        <v>0.41825858250276859</v>
      </c>
      <c r="W21" s="30" t="s">
        <v>388</v>
      </c>
      <c r="X21" s="30" t="s">
        <v>73</v>
      </c>
      <c r="Y21" s="30" t="s">
        <v>385</v>
      </c>
      <c r="Z21" s="30" t="s">
        <v>389</v>
      </c>
      <c r="AA21" s="30" t="s">
        <v>390</v>
      </c>
      <c r="AB21" s="30" t="s">
        <v>391</v>
      </c>
      <c r="AC21" s="30" t="s">
        <v>392</v>
      </c>
      <c r="AD21" s="30" t="s">
        <v>393</v>
      </c>
      <c r="AE21" s="30">
        <v>9</v>
      </c>
      <c r="AF21" s="30" t="s">
        <v>394</v>
      </c>
    </row>
    <row r="22" spans="1:32" hidden="1" x14ac:dyDescent="0.35">
      <c r="A22" s="30">
        <v>1100988</v>
      </c>
      <c r="B22" s="30" t="s">
        <v>468</v>
      </c>
      <c r="C22" s="30" t="s">
        <v>12</v>
      </c>
      <c r="D22" s="30" t="s">
        <v>513</v>
      </c>
      <c r="E22" s="30" t="s">
        <v>516</v>
      </c>
      <c r="F22" s="30" t="s">
        <v>385</v>
      </c>
      <c r="G22" s="30" t="s">
        <v>392</v>
      </c>
      <c r="H22" s="30" t="s">
        <v>393</v>
      </c>
      <c r="I22" s="30" t="s">
        <v>418</v>
      </c>
      <c r="J22" s="30" t="s">
        <v>387</v>
      </c>
      <c r="K22" s="30" t="s">
        <v>387</v>
      </c>
      <c r="L22" s="30">
        <v>100</v>
      </c>
      <c r="M22" s="30">
        <v>1700</v>
      </c>
      <c r="N22" s="31">
        <v>1.2195121951219513E-2</v>
      </c>
      <c r="O22" s="32">
        <f>(L22/100)*M22*N22*(20*AE22)</f>
        <v>3731.707317073171</v>
      </c>
      <c r="P22" s="33">
        <v>1600008</v>
      </c>
      <c r="Q22" s="33">
        <v>300000</v>
      </c>
      <c r="R22" s="33">
        <f>IFERROR(P22*(L22/100),"-")</f>
        <v>1600008</v>
      </c>
      <c r="S22" s="33">
        <f>IFERROR(Q22*(L22/100),"-")</f>
        <v>300000</v>
      </c>
      <c r="T22" s="32">
        <f>IFERROR((R22+S22)/(86*12),"-")</f>
        <v>1841.0930232558139</v>
      </c>
      <c r="U22" s="32">
        <f>O22-T22</f>
        <v>1890.6142938173571</v>
      </c>
      <c r="V22" s="34">
        <f>U22/O22</f>
        <v>0.50663520291837671</v>
      </c>
      <c r="W22" s="30" t="s">
        <v>388</v>
      </c>
      <c r="X22" s="30" t="s">
        <v>73</v>
      </c>
      <c r="Y22" s="30" t="s">
        <v>385</v>
      </c>
      <c r="Z22" s="30" t="s">
        <v>389</v>
      </c>
      <c r="AA22" s="30" t="s">
        <v>390</v>
      </c>
      <c r="AB22" s="30" t="s">
        <v>391</v>
      </c>
      <c r="AC22" s="30" t="s">
        <v>392</v>
      </c>
      <c r="AD22" s="30" t="s">
        <v>393</v>
      </c>
      <c r="AE22" s="30">
        <v>9</v>
      </c>
      <c r="AF22" s="30" t="s">
        <v>394</v>
      </c>
    </row>
    <row r="23" spans="1:32" hidden="1" x14ac:dyDescent="0.35">
      <c r="A23" s="30">
        <v>1009451</v>
      </c>
      <c r="B23" s="30" t="s">
        <v>52</v>
      </c>
      <c r="C23" s="30" t="s">
        <v>12</v>
      </c>
      <c r="D23" s="30" t="s">
        <v>513</v>
      </c>
      <c r="E23" s="30" t="s">
        <v>516</v>
      </c>
      <c r="F23" s="30" t="s">
        <v>385</v>
      </c>
      <c r="G23" s="30" t="s">
        <v>392</v>
      </c>
      <c r="H23" s="30" t="s">
        <v>393</v>
      </c>
      <c r="I23" s="30" t="s">
        <v>77</v>
      </c>
      <c r="J23" s="30" t="s">
        <v>387</v>
      </c>
      <c r="K23" s="30" t="s">
        <v>387</v>
      </c>
      <c r="L23" s="30">
        <v>100</v>
      </c>
      <c r="M23" s="30">
        <v>1700</v>
      </c>
      <c r="N23" s="31">
        <v>1.2195121951219513E-2</v>
      </c>
      <c r="O23" s="32">
        <f>(L23/100)*M23*N23*(20*AE23)</f>
        <v>3731.707317073171</v>
      </c>
      <c r="P23" s="33">
        <v>1650000</v>
      </c>
      <c r="Q23" s="33">
        <v>300000</v>
      </c>
      <c r="R23" s="33">
        <f>IFERROR(P23*(L23/100),"-")</f>
        <v>1650000</v>
      </c>
      <c r="S23" s="33">
        <f>IFERROR(Q23*(L23/100),"-")</f>
        <v>300000</v>
      </c>
      <c r="T23" s="32">
        <f>IFERROR((R23+S23)/(86*12),"-")</f>
        <v>1889.5348837209303</v>
      </c>
      <c r="U23" s="32">
        <f>O23-T23</f>
        <v>1842.1724333522407</v>
      </c>
      <c r="V23" s="34">
        <f>U23/O23</f>
        <v>0.49365405076759389</v>
      </c>
      <c r="W23" s="30" t="s">
        <v>388</v>
      </c>
      <c r="X23" s="30" t="s">
        <v>73</v>
      </c>
      <c r="Y23" s="30" t="s">
        <v>385</v>
      </c>
      <c r="Z23" s="30" t="s">
        <v>389</v>
      </c>
      <c r="AA23" s="30" t="s">
        <v>390</v>
      </c>
      <c r="AB23" s="30" t="s">
        <v>391</v>
      </c>
      <c r="AC23" s="30" t="s">
        <v>392</v>
      </c>
      <c r="AD23" s="30" t="s">
        <v>393</v>
      </c>
      <c r="AE23" s="30">
        <v>9</v>
      </c>
      <c r="AF23" s="30" t="s">
        <v>394</v>
      </c>
    </row>
    <row r="24" spans="1:32" hidden="1" x14ac:dyDescent="0.35">
      <c r="A24" s="30">
        <v>1101556</v>
      </c>
      <c r="B24" s="30" t="s">
        <v>298</v>
      </c>
      <c r="C24" s="30" t="s">
        <v>12</v>
      </c>
      <c r="D24" s="30" t="s">
        <v>513</v>
      </c>
      <c r="E24" s="30" t="s">
        <v>514</v>
      </c>
      <c r="F24" s="30" t="s">
        <v>385</v>
      </c>
      <c r="G24" s="30" t="s">
        <v>511</v>
      </c>
      <c r="H24" s="30" t="s">
        <v>512</v>
      </c>
      <c r="I24" s="30" t="s">
        <v>386</v>
      </c>
      <c r="J24" s="30" t="s">
        <v>387</v>
      </c>
      <c r="K24" s="30" t="s">
        <v>387</v>
      </c>
      <c r="L24" s="30">
        <v>100</v>
      </c>
      <c r="M24" s="30">
        <v>1400</v>
      </c>
      <c r="N24" s="31">
        <v>1.2195121951219513E-2</v>
      </c>
      <c r="O24" s="32">
        <f>(L24/100)*M24*N24*(20*AE24)</f>
        <v>3073.1707317073174</v>
      </c>
      <c r="P24" s="33">
        <v>1650000</v>
      </c>
      <c r="Q24" s="33">
        <v>300000</v>
      </c>
      <c r="R24" s="33">
        <f>IFERROR(P24*(L24/100),"-")</f>
        <v>1650000</v>
      </c>
      <c r="S24" s="33">
        <f>IFERROR(Q24*(L24/100),"-")</f>
        <v>300000</v>
      </c>
      <c r="T24" s="32">
        <f>IFERROR((R24+S24)/(86*12),"-")</f>
        <v>1889.5348837209303</v>
      </c>
      <c r="U24" s="32">
        <f>O24-T24</f>
        <v>1183.635847986387</v>
      </c>
      <c r="V24" s="34">
        <f>U24/O24</f>
        <v>0.38515134736064971</v>
      </c>
      <c r="W24" s="30" t="s">
        <v>388</v>
      </c>
      <c r="X24" s="30" t="s">
        <v>73</v>
      </c>
      <c r="Y24" s="30" t="s">
        <v>385</v>
      </c>
      <c r="Z24" s="30" t="s">
        <v>389</v>
      </c>
      <c r="AA24" s="30" t="s">
        <v>390</v>
      </c>
      <c r="AB24" s="30" t="s">
        <v>391</v>
      </c>
      <c r="AC24" s="30" t="s">
        <v>392</v>
      </c>
      <c r="AD24" s="30" t="s">
        <v>393</v>
      </c>
      <c r="AE24" s="30">
        <v>9</v>
      </c>
      <c r="AF24" s="30" t="s">
        <v>394</v>
      </c>
    </row>
    <row r="25" spans="1:32" hidden="1" x14ac:dyDescent="0.35">
      <c r="A25" s="30">
        <v>1014332</v>
      </c>
      <c r="B25" s="30" t="s">
        <v>472</v>
      </c>
      <c r="C25" s="30" t="s">
        <v>12</v>
      </c>
      <c r="D25" s="30" t="s">
        <v>513</v>
      </c>
      <c r="E25" s="30" t="s">
        <v>516</v>
      </c>
      <c r="F25" s="30" t="s">
        <v>385</v>
      </c>
      <c r="G25" s="30" t="s">
        <v>392</v>
      </c>
      <c r="H25" s="30" t="s">
        <v>393</v>
      </c>
      <c r="I25" s="30" t="s">
        <v>77</v>
      </c>
      <c r="J25" s="30" t="s">
        <v>387</v>
      </c>
      <c r="K25" s="30" t="s">
        <v>387</v>
      </c>
      <c r="L25" s="30">
        <v>100</v>
      </c>
      <c r="M25" s="30">
        <v>1700</v>
      </c>
      <c r="N25" s="31">
        <v>1.2195121951219513E-2</v>
      </c>
      <c r="O25" s="32">
        <f>(L25/100)*M25*N25*(20*AE25)</f>
        <v>3731.707317073171</v>
      </c>
      <c r="P25" s="33">
        <v>1650504</v>
      </c>
      <c r="Q25" s="33">
        <v>300000</v>
      </c>
      <c r="R25" s="33">
        <f>IFERROR(P25*(L25/100),"-")</f>
        <v>1650504</v>
      </c>
      <c r="S25" s="33">
        <f>IFERROR(Q25*(L25/100),"-")</f>
        <v>300000</v>
      </c>
      <c r="T25" s="32">
        <f>IFERROR((R25+S25)/(86*12),"-")</f>
        <v>1890.0232558139535</v>
      </c>
      <c r="U25" s="32">
        <f>O25-T25</f>
        <v>1841.6840612592175</v>
      </c>
      <c r="V25" s="34">
        <f>U25/O25</f>
        <v>0.49352317981456151</v>
      </c>
      <c r="W25" s="30" t="s">
        <v>388</v>
      </c>
      <c r="X25" s="30" t="s">
        <v>73</v>
      </c>
      <c r="Y25" s="30" t="s">
        <v>385</v>
      </c>
      <c r="Z25" s="30" t="s">
        <v>389</v>
      </c>
      <c r="AA25" s="30" t="s">
        <v>390</v>
      </c>
      <c r="AB25" s="30" t="s">
        <v>391</v>
      </c>
      <c r="AC25" s="30" t="s">
        <v>392</v>
      </c>
      <c r="AD25" s="30" t="s">
        <v>393</v>
      </c>
      <c r="AE25" s="30">
        <v>9</v>
      </c>
      <c r="AF25" s="30" t="s">
        <v>394</v>
      </c>
    </row>
    <row r="26" spans="1:32" hidden="1" x14ac:dyDescent="0.35">
      <c r="A26" s="30">
        <v>1100515</v>
      </c>
      <c r="B26" s="30" t="s">
        <v>475</v>
      </c>
      <c r="C26" s="30" t="s">
        <v>12</v>
      </c>
      <c r="D26" s="30" t="s">
        <v>513</v>
      </c>
      <c r="E26" s="30" t="s">
        <v>516</v>
      </c>
      <c r="F26" s="30" t="s">
        <v>385</v>
      </c>
      <c r="G26" s="30" t="s">
        <v>511</v>
      </c>
      <c r="H26" s="30" t="s">
        <v>522</v>
      </c>
      <c r="I26" s="30" t="s">
        <v>418</v>
      </c>
      <c r="J26" s="30" t="s">
        <v>387</v>
      </c>
      <c r="K26" s="30" t="s">
        <v>387</v>
      </c>
      <c r="L26" s="30">
        <v>100</v>
      </c>
      <c r="M26" s="30">
        <v>1400</v>
      </c>
      <c r="N26" s="31">
        <v>1.2195121951219513E-2</v>
      </c>
      <c r="O26" s="32">
        <f>(L26/100)*M26*N26*(20*AE26)</f>
        <v>3073.1707317073174</v>
      </c>
      <c r="P26" s="33">
        <v>1700004</v>
      </c>
      <c r="Q26" s="33">
        <v>300000</v>
      </c>
      <c r="R26" s="33">
        <f>IFERROR(P26*(L26/100),"-")</f>
        <v>1700004</v>
      </c>
      <c r="S26" s="33">
        <f>IFERROR(Q26*(L26/100),"-")</f>
        <v>300000</v>
      </c>
      <c r="T26" s="32">
        <f>IFERROR((R26+S26)/(86*12),"-")</f>
        <v>1937.9883720930231</v>
      </c>
      <c r="U26" s="32">
        <f>O26-T26</f>
        <v>1135.1823596142942</v>
      </c>
      <c r="V26" s="34">
        <f>U26/O26</f>
        <v>0.36938473606496874</v>
      </c>
      <c r="W26" s="30" t="s">
        <v>388</v>
      </c>
      <c r="X26" s="30" t="s">
        <v>73</v>
      </c>
      <c r="Y26" s="30" t="s">
        <v>385</v>
      </c>
      <c r="Z26" s="30" t="s">
        <v>389</v>
      </c>
      <c r="AA26" s="30" t="s">
        <v>390</v>
      </c>
      <c r="AB26" s="30" t="s">
        <v>391</v>
      </c>
      <c r="AC26" s="30" t="s">
        <v>392</v>
      </c>
      <c r="AD26" s="30" t="s">
        <v>393</v>
      </c>
      <c r="AE26" s="30">
        <v>9</v>
      </c>
      <c r="AF26" s="30" t="s">
        <v>394</v>
      </c>
    </row>
    <row r="27" spans="1:32" hidden="1" x14ac:dyDescent="0.35">
      <c r="A27" s="30">
        <v>1002465</v>
      </c>
      <c r="B27" s="30" t="s">
        <v>229</v>
      </c>
      <c r="C27" s="30" t="s">
        <v>12</v>
      </c>
      <c r="D27" s="30" t="s">
        <v>513</v>
      </c>
      <c r="E27" s="30" t="s">
        <v>527</v>
      </c>
      <c r="F27" s="30" t="s">
        <v>385</v>
      </c>
      <c r="G27" s="30" t="s">
        <v>392</v>
      </c>
      <c r="H27" s="30" t="s">
        <v>393</v>
      </c>
      <c r="I27" s="30" t="s">
        <v>20</v>
      </c>
      <c r="J27" s="30" t="s">
        <v>387</v>
      </c>
      <c r="K27" s="30" t="s">
        <v>387</v>
      </c>
      <c r="L27" s="30">
        <v>100</v>
      </c>
      <c r="M27" s="30">
        <v>1400</v>
      </c>
      <c r="N27" s="31">
        <v>1.2195121951219513E-2</v>
      </c>
      <c r="O27" s="32">
        <f>(L27/100)*M27*N27*(20*AE27)</f>
        <v>3073.1707317073174</v>
      </c>
      <c r="P27" s="33">
        <v>1710904</v>
      </c>
      <c r="Q27" s="33">
        <v>300000</v>
      </c>
      <c r="R27" s="33">
        <f>IFERROR(P27*(L27/100),"-")</f>
        <v>1710904</v>
      </c>
      <c r="S27" s="33">
        <f>IFERROR(Q27*(L27/100),"-")</f>
        <v>300000</v>
      </c>
      <c r="T27" s="32">
        <f>IFERROR((R27+S27)/(86*12),"-")</f>
        <v>1948.5503875968993</v>
      </c>
      <c r="U27" s="32">
        <f>O27-T27</f>
        <v>1124.620344110418</v>
      </c>
      <c r="V27" s="34">
        <f>U27/O27</f>
        <v>0.36594788975021536</v>
      </c>
      <c r="W27" s="30" t="s">
        <v>388</v>
      </c>
      <c r="X27" s="30" t="s">
        <v>73</v>
      </c>
      <c r="Y27" s="30" t="s">
        <v>385</v>
      </c>
      <c r="Z27" s="30" t="s">
        <v>389</v>
      </c>
      <c r="AA27" s="30" t="s">
        <v>390</v>
      </c>
      <c r="AB27" s="30" t="s">
        <v>391</v>
      </c>
      <c r="AC27" s="30" t="s">
        <v>392</v>
      </c>
      <c r="AD27" s="30" t="s">
        <v>393</v>
      </c>
      <c r="AE27" s="30">
        <v>9</v>
      </c>
      <c r="AF27" s="30" t="s">
        <v>394</v>
      </c>
    </row>
    <row r="28" spans="1:32" hidden="1" x14ac:dyDescent="0.35">
      <c r="A28" s="30">
        <v>1008986</v>
      </c>
      <c r="B28" s="30" t="s">
        <v>82</v>
      </c>
      <c r="C28" s="30" t="s">
        <v>12</v>
      </c>
      <c r="D28" s="30" t="s">
        <v>513</v>
      </c>
      <c r="E28" s="30" t="s">
        <v>529</v>
      </c>
      <c r="F28" s="30" t="s">
        <v>385</v>
      </c>
      <c r="G28" s="30" t="s">
        <v>392</v>
      </c>
      <c r="H28" s="30" t="s">
        <v>393</v>
      </c>
      <c r="I28" s="30" t="s">
        <v>77</v>
      </c>
      <c r="J28" s="30" t="s">
        <v>387</v>
      </c>
      <c r="K28" s="30" t="s">
        <v>387</v>
      </c>
      <c r="L28" s="30">
        <v>100</v>
      </c>
      <c r="M28" s="30">
        <v>1800</v>
      </c>
      <c r="N28" s="31">
        <v>1.2195121951219513E-2</v>
      </c>
      <c r="O28" s="32">
        <f>(L28/100)*M28*N28*(20*AE28)</f>
        <v>3951.2195121951222</v>
      </c>
      <c r="P28" s="33">
        <v>1715004</v>
      </c>
      <c r="Q28" s="33">
        <v>300000</v>
      </c>
      <c r="R28" s="33">
        <f>IFERROR(P28*(L28/100),"-")</f>
        <v>1715004</v>
      </c>
      <c r="S28" s="33">
        <f>IFERROR(Q28*(L28/100),"-")</f>
        <v>300000</v>
      </c>
      <c r="T28" s="32">
        <f>IFERROR((R28+S28)/(86*12),"-")</f>
        <v>1952.5232558139535</v>
      </c>
      <c r="U28" s="32">
        <f>O28-T28</f>
        <v>1998.6962563811687</v>
      </c>
      <c r="V28" s="34">
        <f>U28/O28</f>
        <v>0.50584287970140684</v>
      </c>
      <c r="W28" s="30" t="s">
        <v>388</v>
      </c>
      <c r="X28" s="30" t="s">
        <v>73</v>
      </c>
      <c r="Y28" s="30" t="s">
        <v>385</v>
      </c>
      <c r="Z28" s="30" t="s">
        <v>389</v>
      </c>
      <c r="AA28" s="30" t="s">
        <v>390</v>
      </c>
      <c r="AB28" s="30" t="s">
        <v>391</v>
      </c>
      <c r="AC28" s="30" t="s">
        <v>392</v>
      </c>
      <c r="AD28" s="30" t="s">
        <v>393</v>
      </c>
      <c r="AE28" s="30">
        <v>9</v>
      </c>
      <c r="AF28" s="30" t="s">
        <v>394</v>
      </c>
    </row>
    <row r="29" spans="1:32" hidden="1" x14ac:dyDescent="0.35">
      <c r="A29" s="30">
        <v>1014617</v>
      </c>
      <c r="B29" s="30" t="s">
        <v>112</v>
      </c>
      <c r="C29" s="30" t="s">
        <v>12</v>
      </c>
      <c r="D29" s="30" t="s">
        <v>513</v>
      </c>
      <c r="E29" s="30" t="s">
        <v>516</v>
      </c>
      <c r="F29" s="30" t="s">
        <v>385</v>
      </c>
      <c r="G29" s="30" t="s">
        <v>392</v>
      </c>
      <c r="H29" s="30" t="s">
        <v>393</v>
      </c>
      <c r="I29" s="30" t="s">
        <v>77</v>
      </c>
      <c r="J29" s="30" t="s">
        <v>387</v>
      </c>
      <c r="K29" s="30" t="s">
        <v>387</v>
      </c>
      <c r="L29" s="30">
        <v>100</v>
      </c>
      <c r="M29" s="30">
        <v>1700</v>
      </c>
      <c r="N29" s="31">
        <v>1.2195121951219513E-2</v>
      </c>
      <c r="O29" s="32">
        <f>(L29/100)*M29*N29*(20*AE29)</f>
        <v>3731.707317073171</v>
      </c>
      <c r="P29" s="33">
        <v>1717908</v>
      </c>
      <c r="Q29" s="33">
        <v>300000</v>
      </c>
      <c r="R29" s="33">
        <f>IFERROR(P29*(L29/100),"-")</f>
        <v>1717908</v>
      </c>
      <c r="S29" s="33">
        <f>IFERROR(Q29*(L29/100),"-")</f>
        <v>300000</v>
      </c>
      <c r="T29" s="32">
        <f>IFERROR((R29+S29)/(86*12),"-")</f>
        <v>1955.3372093023256</v>
      </c>
      <c r="U29" s="32">
        <f>O29-T29</f>
        <v>1776.3701077708454</v>
      </c>
      <c r="V29" s="34">
        <f>U29/O29</f>
        <v>0.47602074783401738</v>
      </c>
      <c r="W29" s="30" t="s">
        <v>388</v>
      </c>
      <c r="X29" s="30" t="s">
        <v>73</v>
      </c>
      <c r="Y29" s="30" t="s">
        <v>385</v>
      </c>
      <c r="Z29" s="30" t="s">
        <v>389</v>
      </c>
      <c r="AA29" s="30" t="s">
        <v>390</v>
      </c>
      <c r="AB29" s="30" t="s">
        <v>391</v>
      </c>
      <c r="AC29" s="30" t="s">
        <v>392</v>
      </c>
      <c r="AD29" s="30" t="s">
        <v>393</v>
      </c>
      <c r="AE29" s="30">
        <v>9</v>
      </c>
      <c r="AF29" s="30" t="s">
        <v>394</v>
      </c>
    </row>
    <row r="30" spans="1:32" hidden="1" x14ac:dyDescent="0.35">
      <c r="A30" s="30">
        <v>1012238</v>
      </c>
      <c r="B30" s="30" t="s">
        <v>94</v>
      </c>
      <c r="C30" s="30" t="s">
        <v>12</v>
      </c>
      <c r="D30" s="30" t="s">
        <v>513</v>
      </c>
      <c r="E30" s="30" t="s">
        <v>514</v>
      </c>
      <c r="F30" s="30" t="s">
        <v>385</v>
      </c>
      <c r="G30" s="30" t="s">
        <v>392</v>
      </c>
      <c r="H30" s="30" t="s">
        <v>393</v>
      </c>
      <c r="I30" s="30" t="s">
        <v>386</v>
      </c>
      <c r="J30" s="30" t="s">
        <v>387</v>
      </c>
      <c r="K30" s="30" t="s">
        <v>387</v>
      </c>
      <c r="L30" s="30">
        <v>100</v>
      </c>
      <c r="M30" s="30">
        <v>1400</v>
      </c>
      <c r="N30" s="31">
        <v>1.2195121951219513E-2</v>
      </c>
      <c r="O30" s="32">
        <f>(L30/100)*M30*N30*(20*AE30)</f>
        <v>3073.1707317073174</v>
      </c>
      <c r="P30" s="33">
        <v>1719108</v>
      </c>
      <c r="Q30" s="33">
        <v>300000</v>
      </c>
      <c r="R30" s="33">
        <f>IFERROR(P30*(L30/100),"-")</f>
        <v>1719108</v>
      </c>
      <c r="S30" s="33">
        <f>IFERROR(Q30*(L30/100),"-")</f>
        <v>300000</v>
      </c>
      <c r="T30" s="32">
        <f>IFERROR((R30+S30)/(86*12),"-")</f>
        <v>1956.5</v>
      </c>
      <c r="U30" s="32">
        <f>O30-T30</f>
        <v>1116.6707317073174</v>
      </c>
      <c r="V30" s="34">
        <f>U30/O30</f>
        <v>0.36336111111111119</v>
      </c>
      <c r="W30" s="30" t="s">
        <v>388</v>
      </c>
      <c r="X30" s="30" t="s">
        <v>73</v>
      </c>
      <c r="Y30" s="30" t="s">
        <v>385</v>
      </c>
      <c r="Z30" s="30" t="s">
        <v>389</v>
      </c>
      <c r="AA30" s="30" t="s">
        <v>390</v>
      </c>
      <c r="AB30" s="30" t="s">
        <v>391</v>
      </c>
      <c r="AC30" s="30" t="s">
        <v>392</v>
      </c>
      <c r="AD30" s="30" t="s">
        <v>393</v>
      </c>
      <c r="AE30" s="30">
        <v>9</v>
      </c>
      <c r="AF30" s="30" t="s">
        <v>394</v>
      </c>
    </row>
    <row r="31" spans="1:32" hidden="1" x14ac:dyDescent="0.35">
      <c r="A31" s="30">
        <v>1014686</v>
      </c>
      <c r="B31" s="30" t="s">
        <v>477</v>
      </c>
      <c r="C31" s="30" t="s">
        <v>12</v>
      </c>
      <c r="D31" s="30" t="s">
        <v>513</v>
      </c>
      <c r="E31" s="30" t="s">
        <v>529</v>
      </c>
      <c r="F31" s="30" t="s">
        <v>385</v>
      </c>
      <c r="G31" s="30" t="s">
        <v>392</v>
      </c>
      <c r="H31" s="30" t="s">
        <v>393</v>
      </c>
      <c r="I31" s="30" t="s">
        <v>77</v>
      </c>
      <c r="J31" s="30" t="s">
        <v>387</v>
      </c>
      <c r="K31" s="30" t="s">
        <v>387</v>
      </c>
      <c r="L31" s="30">
        <v>100</v>
      </c>
      <c r="M31" s="30">
        <v>1700</v>
      </c>
      <c r="N31" s="31">
        <v>1.2195121951219513E-2</v>
      </c>
      <c r="O31" s="32">
        <f>(L31/100)*M31*N31*(20*AE31)</f>
        <v>3731.707317073171</v>
      </c>
      <c r="P31" s="33">
        <v>1720608</v>
      </c>
      <c r="Q31" s="33">
        <v>300000</v>
      </c>
      <c r="R31" s="33">
        <f>IFERROR(P31*(L31/100),"-")</f>
        <v>1720608</v>
      </c>
      <c r="S31" s="33">
        <f>IFERROR(Q31*(L31/100),"-")</f>
        <v>300000</v>
      </c>
      <c r="T31" s="32">
        <f>IFERROR((R31+S31)/(86*12),"-")</f>
        <v>1957.953488372093</v>
      </c>
      <c r="U31" s="32">
        <f>O31-T31</f>
        <v>1773.753828701078</v>
      </c>
      <c r="V31" s="34">
        <f>U31/O31</f>
        <v>0.47531965344277249</v>
      </c>
      <c r="W31" s="30" t="s">
        <v>388</v>
      </c>
      <c r="X31" s="30" t="s">
        <v>73</v>
      </c>
      <c r="Y31" s="30" t="s">
        <v>385</v>
      </c>
      <c r="Z31" s="30" t="s">
        <v>389</v>
      </c>
      <c r="AA31" s="30" t="s">
        <v>390</v>
      </c>
      <c r="AB31" s="30" t="s">
        <v>391</v>
      </c>
      <c r="AC31" s="30" t="s">
        <v>392</v>
      </c>
      <c r="AD31" s="30" t="s">
        <v>393</v>
      </c>
      <c r="AE31" s="30">
        <v>9</v>
      </c>
      <c r="AF31" s="30" t="s">
        <v>394</v>
      </c>
    </row>
    <row r="32" spans="1:32" hidden="1" x14ac:dyDescent="0.35">
      <c r="A32" s="30">
        <v>1017179</v>
      </c>
      <c r="B32" s="30" t="s">
        <v>480</v>
      </c>
      <c r="C32" s="30" t="s">
        <v>12</v>
      </c>
      <c r="D32" s="30" t="s">
        <v>513</v>
      </c>
      <c r="E32" s="30" t="s">
        <v>516</v>
      </c>
      <c r="F32" s="30" t="s">
        <v>385</v>
      </c>
      <c r="G32" s="30" t="s">
        <v>392</v>
      </c>
      <c r="H32" s="30" t="s">
        <v>393</v>
      </c>
      <c r="I32" s="30" t="s">
        <v>77</v>
      </c>
      <c r="J32" s="30" t="s">
        <v>387</v>
      </c>
      <c r="K32" s="30" t="s">
        <v>387</v>
      </c>
      <c r="L32" s="30">
        <v>100</v>
      </c>
      <c r="M32" s="30">
        <v>1700</v>
      </c>
      <c r="N32" s="31">
        <v>1.2195121951219513E-2</v>
      </c>
      <c r="O32" s="32">
        <f>(L32/100)*M32*N32*(20*AE32)</f>
        <v>3731.707317073171</v>
      </c>
      <c r="P32" s="33">
        <v>1782108</v>
      </c>
      <c r="Q32" s="33">
        <v>300000</v>
      </c>
      <c r="R32" s="33">
        <f>IFERROR(P32*(L32/100),"-")</f>
        <v>1782108</v>
      </c>
      <c r="S32" s="33">
        <f>IFERROR(Q32*(L32/100),"-")</f>
        <v>300000</v>
      </c>
      <c r="T32" s="32">
        <f>IFERROR((R32+S32)/(86*12),"-")</f>
        <v>2017.546511627907</v>
      </c>
      <c r="U32" s="32">
        <f>O32-T32</f>
        <v>1714.160805445264</v>
      </c>
      <c r="V32" s="34">
        <f>U32/O32</f>
        <v>0.45935028119775045</v>
      </c>
      <c r="W32" s="30" t="s">
        <v>388</v>
      </c>
      <c r="X32" s="30" t="s">
        <v>73</v>
      </c>
      <c r="Y32" s="30" t="s">
        <v>385</v>
      </c>
      <c r="Z32" s="30" t="s">
        <v>389</v>
      </c>
      <c r="AA32" s="30" t="s">
        <v>390</v>
      </c>
      <c r="AB32" s="30" t="s">
        <v>391</v>
      </c>
      <c r="AC32" s="30" t="s">
        <v>392</v>
      </c>
      <c r="AD32" s="30" t="s">
        <v>393</v>
      </c>
      <c r="AE32" s="30">
        <v>9</v>
      </c>
      <c r="AF32" s="30" t="s">
        <v>394</v>
      </c>
    </row>
    <row r="33" spans="1:32" hidden="1" x14ac:dyDescent="0.35">
      <c r="A33" s="30">
        <v>1009804</v>
      </c>
      <c r="B33" s="30" t="s">
        <v>129</v>
      </c>
      <c r="C33" s="30" t="s">
        <v>12</v>
      </c>
      <c r="D33" s="30" t="s">
        <v>513</v>
      </c>
      <c r="E33" s="30" t="s">
        <v>531</v>
      </c>
      <c r="F33" s="30" t="s">
        <v>385</v>
      </c>
      <c r="G33" s="30" t="s">
        <v>511</v>
      </c>
      <c r="H33" s="30" t="s">
        <v>522</v>
      </c>
      <c r="I33" s="30" t="s">
        <v>418</v>
      </c>
      <c r="J33" s="30" t="s">
        <v>387</v>
      </c>
      <c r="K33" s="30" t="s">
        <v>387</v>
      </c>
      <c r="L33" s="30">
        <v>100</v>
      </c>
      <c r="M33" s="30">
        <v>1800</v>
      </c>
      <c r="N33" s="31">
        <v>1.2195121951219513E-2</v>
      </c>
      <c r="O33" s="32">
        <f>(L33/100)*M33*N33*(20*AE33)</f>
        <v>3951.2195121951222</v>
      </c>
      <c r="P33" s="33">
        <v>1787208</v>
      </c>
      <c r="Q33" s="33">
        <v>300000</v>
      </c>
      <c r="R33" s="33">
        <f>IFERROR(P33*(L33/100),"-")</f>
        <v>1787208</v>
      </c>
      <c r="S33" s="33">
        <f>IFERROR(Q33*(L33/100),"-")</f>
        <v>300000</v>
      </c>
      <c r="T33" s="32">
        <f>IFERROR((R33+S33)/(86*12),"-")</f>
        <v>2022.4883720930231</v>
      </c>
      <c r="U33" s="32">
        <f>O33-T33</f>
        <v>1928.7311401020991</v>
      </c>
      <c r="V33" s="34">
        <f>U33/O33</f>
        <v>0.48813565891472877</v>
      </c>
      <c r="W33" s="30" t="s">
        <v>388</v>
      </c>
      <c r="X33" s="30" t="s">
        <v>73</v>
      </c>
      <c r="Y33" s="30" t="s">
        <v>385</v>
      </c>
      <c r="Z33" s="30" t="s">
        <v>389</v>
      </c>
      <c r="AA33" s="30" t="s">
        <v>390</v>
      </c>
      <c r="AB33" s="30" t="s">
        <v>391</v>
      </c>
      <c r="AC33" s="30" t="s">
        <v>392</v>
      </c>
      <c r="AD33" s="30" t="s">
        <v>393</v>
      </c>
      <c r="AE33" s="30">
        <v>9</v>
      </c>
      <c r="AF33" s="30" t="s">
        <v>394</v>
      </c>
    </row>
    <row r="34" spans="1:32" hidden="1" x14ac:dyDescent="0.35">
      <c r="A34" s="30">
        <v>1004839</v>
      </c>
      <c r="B34" s="30" t="s">
        <v>63</v>
      </c>
      <c r="C34" s="30" t="s">
        <v>12</v>
      </c>
      <c r="D34" s="30" t="s">
        <v>513</v>
      </c>
      <c r="E34" s="30" t="s">
        <v>527</v>
      </c>
      <c r="F34" s="30" t="s">
        <v>385</v>
      </c>
      <c r="G34" s="30" t="s">
        <v>392</v>
      </c>
      <c r="H34" s="30" t="s">
        <v>393</v>
      </c>
      <c r="I34" s="30" t="s">
        <v>20</v>
      </c>
      <c r="J34" s="30" t="s">
        <v>387</v>
      </c>
      <c r="K34" s="30" t="s">
        <v>387</v>
      </c>
      <c r="L34" s="30">
        <v>100</v>
      </c>
      <c r="M34" s="30">
        <v>1700</v>
      </c>
      <c r="N34" s="31">
        <v>1.2195121951219513E-2</v>
      </c>
      <c r="O34" s="32">
        <f>(L34/100)*M34*N34*(20*AE34)</f>
        <v>3731.707317073171</v>
      </c>
      <c r="P34" s="33">
        <v>1809400</v>
      </c>
      <c r="Q34" s="33">
        <v>300000</v>
      </c>
      <c r="R34" s="33">
        <f>IFERROR(P34*(L34/100),"-")</f>
        <v>1809400</v>
      </c>
      <c r="S34" s="33">
        <f>IFERROR(Q34*(L34/100),"-")</f>
        <v>300000</v>
      </c>
      <c r="T34" s="32">
        <f>IFERROR((R34+S34)/(86*12),"-")</f>
        <v>2043.9922480620155</v>
      </c>
      <c r="U34" s="32">
        <f>O34-T34</f>
        <v>1687.7150690111555</v>
      </c>
      <c r="V34" s="34">
        <f>U34/O34</f>
        <v>0.45226351522521158</v>
      </c>
      <c r="W34" s="30" t="s">
        <v>388</v>
      </c>
      <c r="X34" s="30" t="s">
        <v>73</v>
      </c>
      <c r="Y34" s="30" t="s">
        <v>385</v>
      </c>
      <c r="Z34" s="30" t="s">
        <v>389</v>
      </c>
      <c r="AA34" s="30" t="s">
        <v>390</v>
      </c>
      <c r="AB34" s="30" t="s">
        <v>391</v>
      </c>
      <c r="AC34" s="30" t="s">
        <v>392</v>
      </c>
      <c r="AD34" s="30" t="s">
        <v>393</v>
      </c>
      <c r="AE34" s="30">
        <v>9</v>
      </c>
      <c r="AF34" s="30" t="s">
        <v>394</v>
      </c>
    </row>
    <row r="35" spans="1:32" hidden="1" x14ac:dyDescent="0.35">
      <c r="A35" s="30">
        <v>1013184</v>
      </c>
      <c r="B35" s="30" t="s">
        <v>481</v>
      </c>
      <c r="C35" s="30" t="s">
        <v>99</v>
      </c>
      <c r="D35" s="30" t="s">
        <v>513</v>
      </c>
      <c r="E35" s="30" t="s">
        <v>516</v>
      </c>
      <c r="F35" s="30" t="s">
        <v>385</v>
      </c>
      <c r="G35" s="30" t="s">
        <v>392</v>
      </c>
      <c r="H35" s="30" t="s">
        <v>393</v>
      </c>
      <c r="I35" s="30" t="s">
        <v>77</v>
      </c>
      <c r="J35" s="30" t="s">
        <v>387</v>
      </c>
      <c r="K35" s="30" t="s">
        <v>387</v>
      </c>
      <c r="L35" s="30">
        <v>100</v>
      </c>
      <c r="M35" s="30">
        <v>1700</v>
      </c>
      <c r="N35" s="31">
        <v>1.2195121951219513E-2</v>
      </c>
      <c r="O35" s="32">
        <f>(L35/100)*M35*N35*(20*AE35)</f>
        <v>3731.707317073171</v>
      </c>
      <c r="P35" s="33">
        <v>1819404</v>
      </c>
      <c r="Q35" s="33">
        <v>300000</v>
      </c>
      <c r="R35" s="33">
        <f>IFERROR(P35*(L35/100),"-")</f>
        <v>1819404</v>
      </c>
      <c r="S35" s="33">
        <f>IFERROR(Q35*(L35/100),"-")</f>
        <v>300000</v>
      </c>
      <c r="T35" s="32">
        <f>IFERROR((R35+S35)/(86*12),"-")</f>
        <v>2053.6860465116279</v>
      </c>
      <c r="U35" s="32">
        <f>O35-T35</f>
        <v>1678.0212705615431</v>
      </c>
      <c r="V35" s="34">
        <f>U35/O35</f>
        <v>0.44966583067335464</v>
      </c>
      <c r="W35" s="30" t="s">
        <v>388</v>
      </c>
      <c r="X35" s="30" t="s">
        <v>73</v>
      </c>
      <c r="Y35" s="30" t="s">
        <v>385</v>
      </c>
      <c r="Z35" s="30" t="s">
        <v>389</v>
      </c>
      <c r="AA35" s="30" t="s">
        <v>390</v>
      </c>
      <c r="AB35" s="30" t="s">
        <v>391</v>
      </c>
      <c r="AC35" s="30" t="s">
        <v>392</v>
      </c>
      <c r="AD35" s="30" t="s">
        <v>393</v>
      </c>
      <c r="AE35" s="30">
        <v>9</v>
      </c>
      <c r="AF35" s="30" t="s">
        <v>394</v>
      </c>
    </row>
    <row r="36" spans="1:32" hidden="1" x14ac:dyDescent="0.35">
      <c r="A36" s="30">
        <v>1014869</v>
      </c>
      <c r="B36" s="30" t="s">
        <v>485</v>
      </c>
      <c r="C36" s="30" t="s">
        <v>12</v>
      </c>
      <c r="D36" s="30" t="s">
        <v>513</v>
      </c>
      <c r="E36" s="30" t="s">
        <v>516</v>
      </c>
      <c r="F36" s="30" t="s">
        <v>385</v>
      </c>
      <c r="G36" s="30" t="s">
        <v>392</v>
      </c>
      <c r="H36" s="30" t="s">
        <v>393</v>
      </c>
      <c r="I36" s="30" t="s">
        <v>77</v>
      </c>
      <c r="J36" s="30" t="s">
        <v>387</v>
      </c>
      <c r="K36" s="30" t="s">
        <v>387</v>
      </c>
      <c r="L36" s="30">
        <v>100</v>
      </c>
      <c r="M36" s="30">
        <v>1800</v>
      </c>
      <c r="N36" s="31">
        <v>1.2195121951219513E-2</v>
      </c>
      <c r="O36" s="32">
        <f>(L36/100)*M36*N36*(20*AE36)</f>
        <v>3951.2195121951222</v>
      </c>
      <c r="P36" s="33">
        <v>1890600</v>
      </c>
      <c r="Q36" s="33">
        <v>300000</v>
      </c>
      <c r="R36" s="33">
        <f>IFERROR(P36*(L36/100),"-")</f>
        <v>1890600</v>
      </c>
      <c r="S36" s="33">
        <f>IFERROR(Q36*(L36/100),"-")</f>
        <v>300000</v>
      </c>
      <c r="T36" s="32">
        <f>IFERROR((R36+S36)/(86*12),"-")</f>
        <v>2122.6744186046512</v>
      </c>
      <c r="U36" s="32">
        <f>O36-T36</f>
        <v>1828.545093590471</v>
      </c>
      <c r="V36" s="34">
        <f>U36/O36</f>
        <v>0.4627799310938846</v>
      </c>
      <c r="W36" s="30" t="s">
        <v>388</v>
      </c>
      <c r="X36" s="30" t="s">
        <v>73</v>
      </c>
      <c r="Y36" s="30" t="s">
        <v>385</v>
      </c>
      <c r="Z36" s="30" t="s">
        <v>389</v>
      </c>
      <c r="AA36" s="30" t="s">
        <v>390</v>
      </c>
      <c r="AB36" s="30" t="s">
        <v>391</v>
      </c>
      <c r="AC36" s="30" t="s">
        <v>392</v>
      </c>
      <c r="AD36" s="30" t="s">
        <v>393</v>
      </c>
      <c r="AE36" s="30">
        <v>9</v>
      </c>
      <c r="AF36" s="30" t="s">
        <v>394</v>
      </c>
    </row>
    <row r="37" spans="1:32" hidden="1" x14ac:dyDescent="0.35">
      <c r="A37" s="30">
        <v>1101719</v>
      </c>
      <c r="B37" s="30" t="s">
        <v>305</v>
      </c>
      <c r="C37" s="30" t="s">
        <v>12</v>
      </c>
      <c r="D37" s="30" t="s">
        <v>513</v>
      </c>
      <c r="E37" s="30" t="s">
        <v>516</v>
      </c>
      <c r="F37" s="30" t="s">
        <v>385</v>
      </c>
      <c r="G37" s="30" t="s">
        <v>511</v>
      </c>
      <c r="H37" s="30" t="s">
        <v>522</v>
      </c>
      <c r="I37" s="30" t="s">
        <v>418</v>
      </c>
      <c r="J37" s="30" t="s">
        <v>387</v>
      </c>
      <c r="K37" s="30" t="s">
        <v>387</v>
      </c>
      <c r="L37" s="30">
        <v>100</v>
      </c>
      <c r="M37" s="30">
        <v>1700</v>
      </c>
      <c r="N37" s="31">
        <v>1.2195121951219513E-2</v>
      </c>
      <c r="O37" s="32">
        <f>(L37/100)*M37*N37*(20*AE37)</f>
        <v>3731.707317073171</v>
      </c>
      <c r="P37" s="33">
        <v>1900008</v>
      </c>
      <c r="Q37" s="33">
        <v>300000</v>
      </c>
      <c r="R37" s="33">
        <f>IFERROR(P37*(L37/100),"-")</f>
        <v>1900008</v>
      </c>
      <c r="S37" s="33">
        <f>IFERROR(Q37*(L37/100),"-")</f>
        <v>300000</v>
      </c>
      <c r="T37" s="32">
        <f>IFERROR((R37+S37)/(86*12),"-")</f>
        <v>2131.7906976744184</v>
      </c>
      <c r="U37" s="32">
        <f>O37-T37</f>
        <v>1599.9166193987526</v>
      </c>
      <c r="V37" s="34">
        <f>U37/O37</f>
        <v>0.42873582611339117</v>
      </c>
      <c r="W37" s="30" t="s">
        <v>388</v>
      </c>
      <c r="X37" s="30" t="s">
        <v>73</v>
      </c>
      <c r="Y37" s="30" t="s">
        <v>385</v>
      </c>
      <c r="Z37" s="30" t="s">
        <v>389</v>
      </c>
      <c r="AA37" s="30" t="s">
        <v>390</v>
      </c>
      <c r="AB37" s="30" t="s">
        <v>391</v>
      </c>
      <c r="AC37" s="30" t="s">
        <v>392</v>
      </c>
      <c r="AD37" s="30" t="s">
        <v>393</v>
      </c>
      <c r="AE37" s="30">
        <v>9</v>
      </c>
      <c r="AF37" s="30" t="s">
        <v>394</v>
      </c>
    </row>
    <row r="38" spans="1:32" hidden="1" x14ac:dyDescent="0.35">
      <c r="A38" s="30">
        <v>1101276</v>
      </c>
      <c r="B38" s="30" t="s">
        <v>496</v>
      </c>
      <c r="C38" s="30" t="s">
        <v>12</v>
      </c>
      <c r="D38" s="30" t="s">
        <v>513</v>
      </c>
      <c r="E38" s="30" t="s">
        <v>529</v>
      </c>
      <c r="F38" s="30" t="s">
        <v>385</v>
      </c>
      <c r="G38" s="30" t="s">
        <v>511</v>
      </c>
      <c r="H38" s="30" t="s">
        <v>522</v>
      </c>
      <c r="I38" s="30" t="s">
        <v>418</v>
      </c>
      <c r="J38" s="30" t="s">
        <v>387</v>
      </c>
      <c r="K38" s="30" t="s">
        <v>387</v>
      </c>
      <c r="L38" s="30">
        <v>100</v>
      </c>
      <c r="M38" s="30">
        <v>1800</v>
      </c>
      <c r="N38" s="31">
        <v>1.2195121951219513E-2</v>
      </c>
      <c r="O38" s="32">
        <f>(L38/100)*M38*N38*(20*AE38)</f>
        <v>3951.2195121951222</v>
      </c>
      <c r="P38" s="33">
        <v>2300000</v>
      </c>
      <c r="Q38" s="33">
        <v>300000</v>
      </c>
      <c r="R38" s="33">
        <f>IFERROR(P38*(L38/100),"-")</f>
        <v>2300000</v>
      </c>
      <c r="S38" s="33">
        <f>IFERROR(Q38*(L38/100),"-")</f>
        <v>300000</v>
      </c>
      <c r="T38" s="32">
        <f>IFERROR((R38+S38)/(86*12),"-")</f>
        <v>2519.3798449612405</v>
      </c>
      <c r="U38" s="32">
        <f>O38-T38</f>
        <v>1431.8396672338818</v>
      </c>
      <c r="V38" s="34">
        <f>U38/O38</f>
        <v>0.36237917504067374</v>
      </c>
      <c r="W38" s="30" t="s">
        <v>388</v>
      </c>
      <c r="X38" s="30" t="s">
        <v>73</v>
      </c>
      <c r="Y38" s="30" t="s">
        <v>385</v>
      </c>
      <c r="Z38" s="30" t="s">
        <v>389</v>
      </c>
      <c r="AA38" s="30" t="s">
        <v>390</v>
      </c>
      <c r="AB38" s="30" t="s">
        <v>391</v>
      </c>
      <c r="AC38" s="30" t="s">
        <v>392</v>
      </c>
      <c r="AD38" s="30" t="s">
        <v>393</v>
      </c>
      <c r="AE38" s="30">
        <v>9</v>
      </c>
      <c r="AF38" s="30" t="s">
        <v>394</v>
      </c>
    </row>
    <row r="39" spans="1:32" hidden="1" x14ac:dyDescent="0.35">
      <c r="A39" s="30">
        <v>1101722</v>
      </c>
      <c r="B39" s="30" t="s">
        <v>307</v>
      </c>
      <c r="C39" s="30" t="s">
        <v>12</v>
      </c>
      <c r="D39" s="30" t="s">
        <v>513</v>
      </c>
      <c r="E39" s="30" t="s">
        <v>525</v>
      </c>
      <c r="F39" s="30" t="s">
        <v>385</v>
      </c>
      <c r="G39" s="30" t="s">
        <v>511</v>
      </c>
      <c r="H39" s="30" t="s">
        <v>512</v>
      </c>
      <c r="I39" s="30" t="s">
        <v>386</v>
      </c>
      <c r="J39" s="30" t="s">
        <v>387</v>
      </c>
      <c r="K39" s="30" t="s">
        <v>387</v>
      </c>
      <c r="L39" s="30">
        <v>100</v>
      </c>
      <c r="M39" s="30">
        <v>2100</v>
      </c>
      <c r="N39" s="31">
        <v>1.2195121951219513E-2</v>
      </c>
      <c r="O39" s="32">
        <f>(L39/100)*M39*N39*(20*AE39)</f>
        <v>4609.7560975609758</v>
      </c>
      <c r="P39" s="33">
        <v>2400000</v>
      </c>
      <c r="Q39" s="33">
        <v>300000</v>
      </c>
      <c r="R39" s="33">
        <f>IFERROR(P39*(L39/100),"-")</f>
        <v>2400000</v>
      </c>
      <c r="S39" s="33">
        <f>IFERROR(Q39*(L39/100),"-")</f>
        <v>300000</v>
      </c>
      <c r="T39" s="32">
        <f>IFERROR((R39+S39)/(86*12),"-")</f>
        <v>2616.2790697674418</v>
      </c>
      <c r="U39" s="32">
        <f>O39-T39</f>
        <v>1993.477027793534</v>
      </c>
      <c r="V39" s="34">
        <f>U39/O39</f>
        <v>0.43244739756367667</v>
      </c>
      <c r="W39" s="30" t="s">
        <v>388</v>
      </c>
      <c r="X39" s="30" t="s">
        <v>73</v>
      </c>
      <c r="Y39" s="30" t="s">
        <v>385</v>
      </c>
      <c r="Z39" s="30" t="s">
        <v>389</v>
      </c>
      <c r="AA39" s="30" t="s">
        <v>390</v>
      </c>
      <c r="AB39" s="30" t="s">
        <v>391</v>
      </c>
      <c r="AC39" s="30" t="s">
        <v>392</v>
      </c>
      <c r="AD39" s="30" t="s">
        <v>393</v>
      </c>
      <c r="AE39" s="30">
        <v>9</v>
      </c>
      <c r="AF39" s="30" t="s">
        <v>394</v>
      </c>
    </row>
    <row r="40" spans="1:32" hidden="1" x14ac:dyDescent="0.35">
      <c r="A40" s="30">
        <v>1100996</v>
      </c>
      <c r="B40" s="30" t="s">
        <v>260</v>
      </c>
      <c r="C40" s="30" t="s">
        <v>12</v>
      </c>
      <c r="D40" s="30" t="s">
        <v>513</v>
      </c>
      <c r="E40" s="30" t="s">
        <v>529</v>
      </c>
      <c r="F40" s="30" t="s">
        <v>385</v>
      </c>
      <c r="G40" s="30" t="s">
        <v>392</v>
      </c>
      <c r="H40" s="30" t="s">
        <v>393</v>
      </c>
      <c r="I40" s="30" t="s">
        <v>386</v>
      </c>
      <c r="J40" s="30" t="s">
        <v>387</v>
      </c>
      <c r="K40" s="30" t="s">
        <v>387</v>
      </c>
      <c r="L40" s="30">
        <v>100</v>
      </c>
      <c r="M40" s="30">
        <v>2100</v>
      </c>
      <c r="N40" s="31">
        <v>1.2195121951219513E-2</v>
      </c>
      <c r="O40" s="32">
        <f>(L40/100)*M40*N40*(20*AE40)</f>
        <v>4609.7560975609758</v>
      </c>
      <c r="P40" s="33">
        <v>2500000</v>
      </c>
      <c r="Q40" s="33">
        <v>300000</v>
      </c>
      <c r="R40" s="33">
        <f>IFERROR(P40*(L40/100),"-")</f>
        <v>2500000</v>
      </c>
      <c r="S40" s="33">
        <f>IFERROR(Q40*(L40/100),"-")</f>
        <v>300000</v>
      </c>
      <c r="T40" s="32">
        <f>IFERROR((R40+S40)/(86*12),"-")</f>
        <v>2713.1782945736436</v>
      </c>
      <c r="U40" s="32">
        <f>O40-T40</f>
        <v>1896.5778029873322</v>
      </c>
      <c r="V40" s="34">
        <f>U40/O40</f>
        <v>0.41142693080677578</v>
      </c>
      <c r="W40" s="30" t="s">
        <v>388</v>
      </c>
      <c r="X40" s="30" t="s">
        <v>73</v>
      </c>
      <c r="Y40" s="30" t="s">
        <v>385</v>
      </c>
      <c r="Z40" s="30" t="s">
        <v>389</v>
      </c>
      <c r="AA40" s="30" t="s">
        <v>390</v>
      </c>
      <c r="AB40" s="30" t="s">
        <v>391</v>
      </c>
      <c r="AC40" s="30" t="s">
        <v>392</v>
      </c>
      <c r="AD40" s="30" t="s">
        <v>393</v>
      </c>
      <c r="AE40" s="30">
        <v>9</v>
      </c>
      <c r="AF40" s="30" t="s">
        <v>394</v>
      </c>
    </row>
    <row r="41" spans="1:32" hidden="1" x14ac:dyDescent="0.35">
      <c r="A41" s="30">
        <v>1000335</v>
      </c>
      <c r="B41" s="30" t="s">
        <v>72</v>
      </c>
      <c r="C41" s="30" t="s">
        <v>12</v>
      </c>
      <c r="D41" s="30" t="s">
        <v>513</v>
      </c>
      <c r="E41" s="30" t="s">
        <v>531</v>
      </c>
      <c r="F41" s="30" t="s">
        <v>385</v>
      </c>
      <c r="G41" s="30" t="s">
        <v>392</v>
      </c>
      <c r="H41" s="30" t="s">
        <v>393</v>
      </c>
      <c r="I41" s="30" t="s">
        <v>411</v>
      </c>
      <c r="J41" s="30" t="s">
        <v>387</v>
      </c>
      <c r="K41" s="30" t="s">
        <v>387</v>
      </c>
      <c r="L41" s="30">
        <v>100</v>
      </c>
      <c r="M41" s="30">
        <v>2100</v>
      </c>
      <c r="N41" s="31">
        <v>1.2195121951219513E-2</v>
      </c>
      <c r="O41" s="32">
        <f>(L41/100)*M41*N41*(20*AE41)</f>
        <v>4609.7560975609758</v>
      </c>
      <c r="P41" s="33">
        <v>2567604</v>
      </c>
      <c r="Q41" s="33">
        <v>300000</v>
      </c>
      <c r="R41" s="33">
        <f>IFERROR(P41*(L41/100),"-")</f>
        <v>2567604</v>
      </c>
      <c r="S41" s="33">
        <f>IFERROR(Q41*(L41/100),"-")</f>
        <v>300000</v>
      </c>
      <c r="T41" s="32">
        <f>IFERROR((R41+S41)/(86*12),"-")</f>
        <v>2778.6860465116279</v>
      </c>
      <c r="U41" s="32">
        <f>O41-T41</f>
        <v>1831.070051049348</v>
      </c>
      <c r="V41" s="34">
        <f>U41/O41</f>
        <v>0.39721625446044057</v>
      </c>
      <c r="W41" s="30" t="s">
        <v>388</v>
      </c>
      <c r="X41" s="30" t="s">
        <v>73</v>
      </c>
      <c r="Y41" s="30" t="s">
        <v>385</v>
      </c>
      <c r="Z41" s="30" t="s">
        <v>389</v>
      </c>
      <c r="AA41" s="30" t="s">
        <v>390</v>
      </c>
      <c r="AB41" s="30" t="s">
        <v>391</v>
      </c>
      <c r="AC41" s="30" t="s">
        <v>392</v>
      </c>
      <c r="AD41" s="30" t="s">
        <v>393</v>
      </c>
      <c r="AE41" s="30">
        <v>9</v>
      </c>
      <c r="AF41" s="30" t="s">
        <v>394</v>
      </c>
    </row>
    <row r="42" spans="1:32" hidden="1" x14ac:dyDescent="0.35">
      <c r="A42" s="30">
        <v>1015712</v>
      </c>
      <c r="B42" s="30" t="s">
        <v>500</v>
      </c>
      <c r="C42" s="30" t="s">
        <v>12</v>
      </c>
      <c r="D42" s="30" t="s">
        <v>513</v>
      </c>
      <c r="E42" s="30" t="s">
        <v>529</v>
      </c>
      <c r="F42" s="30" t="s">
        <v>385</v>
      </c>
      <c r="G42" s="30" t="s">
        <v>392</v>
      </c>
      <c r="H42" s="30" t="s">
        <v>393</v>
      </c>
      <c r="I42" s="30" t="s">
        <v>77</v>
      </c>
      <c r="J42" s="30" t="s">
        <v>387</v>
      </c>
      <c r="K42" s="30" t="s">
        <v>387</v>
      </c>
      <c r="L42" s="30">
        <v>100</v>
      </c>
      <c r="M42" s="30">
        <v>2100</v>
      </c>
      <c r="N42" s="31">
        <v>1.2195121951219513E-2</v>
      </c>
      <c r="O42" s="32">
        <f>(L42/100)*M42*N42*(20*AE42)</f>
        <v>4609.7560975609758</v>
      </c>
      <c r="P42" s="33">
        <v>2784800</v>
      </c>
      <c r="Q42" s="33">
        <v>300000</v>
      </c>
      <c r="R42" s="33">
        <f>IFERROR(P42*(L42/100),"-")</f>
        <v>2784800</v>
      </c>
      <c r="S42" s="33">
        <f>IFERROR(Q42*(L42/100),"-")</f>
        <v>300000</v>
      </c>
      <c r="T42" s="32">
        <f>IFERROR((R42+S42)/(86*12),"-")</f>
        <v>2989.1472868217056</v>
      </c>
      <c r="U42" s="32">
        <f>O42-T42</f>
        <v>1620.6088107392702</v>
      </c>
      <c r="V42" s="34">
        <f>U42/O42</f>
        <v>0.3515606414831221</v>
      </c>
      <c r="W42" s="30" t="s">
        <v>388</v>
      </c>
      <c r="X42" s="30" t="s">
        <v>73</v>
      </c>
      <c r="Y42" s="30" t="s">
        <v>385</v>
      </c>
      <c r="Z42" s="30" t="s">
        <v>389</v>
      </c>
      <c r="AA42" s="30" t="s">
        <v>390</v>
      </c>
      <c r="AB42" s="30" t="s">
        <v>391</v>
      </c>
      <c r="AC42" s="30" t="s">
        <v>392</v>
      </c>
      <c r="AD42" s="30" t="s">
        <v>393</v>
      </c>
      <c r="AE42" s="30">
        <v>9</v>
      </c>
      <c r="AF42" s="30" t="s">
        <v>394</v>
      </c>
    </row>
    <row r="43" spans="1:32" hidden="1" x14ac:dyDescent="0.35">
      <c r="A43" s="30">
        <v>1102283</v>
      </c>
      <c r="B43" s="30" t="s">
        <v>399</v>
      </c>
      <c r="C43" s="30" t="s">
        <v>12</v>
      </c>
      <c r="D43" s="30" t="s">
        <v>513</v>
      </c>
      <c r="E43" s="30" t="s">
        <v>516</v>
      </c>
      <c r="F43" s="30" t="s">
        <v>396</v>
      </c>
      <c r="G43" s="30" t="s">
        <v>392</v>
      </c>
      <c r="H43" s="30" t="s">
        <v>393</v>
      </c>
      <c r="I43" s="30" t="s">
        <v>77</v>
      </c>
      <c r="J43" s="30" t="s">
        <v>387</v>
      </c>
      <c r="K43" s="30" t="s">
        <v>387</v>
      </c>
      <c r="L43" s="30">
        <v>100</v>
      </c>
      <c r="M43" s="30">
        <v>1700</v>
      </c>
      <c r="N43" s="31">
        <v>1.2195121951219513E-2</v>
      </c>
      <c r="O43" s="32">
        <f>(L43/100)*M43*N43*(20*AE43)</f>
        <v>3731.707317073171</v>
      </c>
      <c r="P43" s="35">
        <v>1389395.0424929177</v>
      </c>
      <c r="Q43" s="33">
        <v>300000</v>
      </c>
      <c r="R43" s="33">
        <f>IFERROR(P43*(L43/100),"-")</f>
        <v>1389395.0424929177</v>
      </c>
      <c r="S43" s="33">
        <f>IFERROR(Q43*(L43/100),"-")</f>
        <v>300000</v>
      </c>
      <c r="T43" s="32">
        <f>IFERROR((R43+S43)/(86*12),"-")</f>
        <v>1637.0107000900366</v>
      </c>
      <c r="U43" s="32">
        <f>O43-T43</f>
        <v>2094.6966169831344</v>
      </c>
      <c r="V43" s="34">
        <f>U43/O43</f>
        <v>0.56132393004123204</v>
      </c>
      <c r="W43" s="30" t="s">
        <v>400</v>
      </c>
      <c r="X43" s="30" t="s">
        <v>27</v>
      </c>
      <c r="Y43" s="30" t="s">
        <v>396</v>
      </c>
      <c r="Z43" s="30" t="s">
        <v>389</v>
      </c>
      <c r="AA43" s="30" t="s">
        <v>390</v>
      </c>
      <c r="AB43" s="30" t="s">
        <v>391</v>
      </c>
      <c r="AC43" s="30" t="s">
        <v>392</v>
      </c>
      <c r="AD43" s="30" t="s">
        <v>393</v>
      </c>
      <c r="AE43" s="30">
        <v>9</v>
      </c>
      <c r="AF43" s="30" t="s">
        <v>394</v>
      </c>
    </row>
    <row r="44" spans="1:32" hidden="1" x14ac:dyDescent="0.35">
      <c r="A44" s="30">
        <v>1101765</v>
      </c>
      <c r="B44" s="30" t="s">
        <v>348</v>
      </c>
      <c r="C44" s="30" t="s">
        <v>12</v>
      </c>
      <c r="D44" s="30" t="s">
        <v>513</v>
      </c>
      <c r="E44" s="30" t="s">
        <v>517</v>
      </c>
      <c r="F44" s="30" t="s">
        <v>396</v>
      </c>
      <c r="G44" s="30" t="s">
        <v>392</v>
      </c>
      <c r="H44" s="30" t="s">
        <v>393</v>
      </c>
      <c r="I44" s="30" t="s">
        <v>131</v>
      </c>
      <c r="J44" s="30" t="s">
        <v>387</v>
      </c>
      <c r="K44" s="30" t="s">
        <v>387</v>
      </c>
      <c r="L44" s="30">
        <v>100</v>
      </c>
      <c r="M44" s="30">
        <v>1700</v>
      </c>
      <c r="N44" s="31">
        <v>1.2195121951219513E-2</v>
      </c>
      <c r="O44" s="32">
        <f>(L44/100)*M44*N44*(20*AE44)</f>
        <v>3731.707317073171</v>
      </c>
      <c r="P44" s="33">
        <v>800004</v>
      </c>
      <c r="Q44" s="33">
        <v>300000</v>
      </c>
      <c r="R44" s="33">
        <f>IFERROR(P44*(L44/100),"-")</f>
        <v>800004</v>
      </c>
      <c r="S44" s="33">
        <f>IFERROR(Q44*(L44/100),"-")</f>
        <v>300000</v>
      </c>
      <c r="T44" s="32">
        <f>IFERROR((R44+S44)/(86*12),"-")</f>
        <v>1065.8953488372092</v>
      </c>
      <c r="U44" s="32">
        <f>O44-T44</f>
        <v>2665.811968235962</v>
      </c>
      <c r="V44" s="34">
        <f>U44/O44</f>
        <v>0.71436791305669567</v>
      </c>
      <c r="W44" s="30" t="s">
        <v>400</v>
      </c>
      <c r="X44" s="30" t="s">
        <v>27</v>
      </c>
      <c r="Y44" s="30" t="s">
        <v>396</v>
      </c>
      <c r="Z44" s="30" t="s">
        <v>389</v>
      </c>
      <c r="AA44" s="30" t="s">
        <v>390</v>
      </c>
      <c r="AB44" s="30" t="s">
        <v>391</v>
      </c>
      <c r="AC44" s="30" t="s">
        <v>392</v>
      </c>
      <c r="AD44" s="30" t="s">
        <v>393</v>
      </c>
      <c r="AE44" s="30">
        <v>9</v>
      </c>
      <c r="AF44" s="30" t="s">
        <v>394</v>
      </c>
    </row>
    <row r="45" spans="1:32" hidden="1" x14ac:dyDescent="0.35">
      <c r="A45" s="30">
        <v>1101815</v>
      </c>
      <c r="B45" s="30" t="s">
        <v>409</v>
      </c>
      <c r="C45" s="30" t="s">
        <v>12</v>
      </c>
      <c r="D45" s="30" t="s">
        <v>513</v>
      </c>
      <c r="E45" s="30" t="s">
        <v>517</v>
      </c>
      <c r="F45" s="30" t="s">
        <v>396</v>
      </c>
      <c r="G45" s="30" t="s">
        <v>392</v>
      </c>
      <c r="H45" s="30" t="s">
        <v>393</v>
      </c>
      <c r="I45" s="30" t="s">
        <v>77</v>
      </c>
      <c r="J45" s="30" t="s">
        <v>387</v>
      </c>
      <c r="K45" s="30" t="s">
        <v>387</v>
      </c>
      <c r="L45" s="30">
        <v>100</v>
      </c>
      <c r="M45" s="30">
        <v>1700</v>
      </c>
      <c r="N45" s="31">
        <v>1.2195121951219513E-2</v>
      </c>
      <c r="O45" s="32">
        <f>(L45/100)*M45*N45*(20*AE45)</f>
        <v>3731.707317073171</v>
      </c>
      <c r="P45" s="33">
        <v>800004</v>
      </c>
      <c r="Q45" s="33">
        <v>300000</v>
      </c>
      <c r="R45" s="33">
        <f>IFERROR(P45*(L45/100),"-")</f>
        <v>800004</v>
      </c>
      <c r="S45" s="33">
        <f>IFERROR(Q45*(L45/100),"-")</f>
        <v>300000</v>
      </c>
      <c r="T45" s="32">
        <f>IFERROR((R45+S45)/(86*12),"-")</f>
        <v>1065.8953488372092</v>
      </c>
      <c r="U45" s="32">
        <f>O45-T45</f>
        <v>2665.811968235962</v>
      </c>
      <c r="V45" s="34">
        <f>U45/O45</f>
        <v>0.71436791305669567</v>
      </c>
      <c r="W45" s="30" t="s">
        <v>400</v>
      </c>
      <c r="X45" s="30" t="s">
        <v>27</v>
      </c>
      <c r="Y45" s="30" t="s">
        <v>396</v>
      </c>
      <c r="Z45" s="30" t="s">
        <v>389</v>
      </c>
      <c r="AA45" s="30" t="s">
        <v>390</v>
      </c>
      <c r="AB45" s="30" t="s">
        <v>391</v>
      </c>
      <c r="AC45" s="30" t="s">
        <v>392</v>
      </c>
      <c r="AD45" s="30" t="s">
        <v>393</v>
      </c>
      <c r="AE45" s="30">
        <v>9</v>
      </c>
      <c r="AF45" s="30" t="s">
        <v>394</v>
      </c>
    </row>
    <row r="46" spans="1:32" hidden="1" x14ac:dyDescent="0.35">
      <c r="A46" s="30">
        <v>1015066</v>
      </c>
      <c r="B46" s="30" t="s">
        <v>409</v>
      </c>
      <c r="C46" s="30" t="s">
        <v>12</v>
      </c>
      <c r="D46" s="30" t="s">
        <v>513</v>
      </c>
      <c r="E46" s="30" t="s">
        <v>517</v>
      </c>
      <c r="F46" s="30" t="s">
        <v>396</v>
      </c>
      <c r="G46" s="30" t="s">
        <v>392</v>
      </c>
      <c r="H46" s="30" t="s">
        <v>393</v>
      </c>
      <c r="I46" s="30" t="s">
        <v>77</v>
      </c>
      <c r="J46" s="30" t="s">
        <v>387</v>
      </c>
      <c r="K46" s="30" t="s">
        <v>387</v>
      </c>
      <c r="L46" s="30">
        <v>100</v>
      </c>
      <c r="M46" s="30">
        <v>1200</v>
      </c>
      <c r="N46" s="31">
        <v>1.2195121951219513E-2</v>
      </c>
      <c r="O46" s="32">
        <f>(L46/100)*M46*N46*(20*AE46)</f>
        <v>2634.146341463415</v>
      </c>
      <c r="P46" s="33">
        <v>855000</v>
      </c>
      <c r="Q46" s="33">
        <v>300000</v>
      </c>
      <c r="R46" s="33">
        <f>IFERROR(P46*(L46/100),"-")</f>
        <v>855000</v>
      </c>
      <c r="S46" s="33">
        <f>IFERROR(Q46*(L46/100),"-")</f>
        <v>300000</v>
      </c>
      <c r="T46" s="32">
        <f>IFERROR((R46+S46)/(86*12),"-")</f>
        <v>1119.1860465116279</v>
      </c>
      <c r="U46" s="32">
        <f>O46-T46</f>
        <v>1514.9602949517871</v>
      </c>
      <c r="V46" s="34">
        <f>U46/O46</f>
        <v>0.57512381567614135</v>
      </c>
      <c r="W46" s="30" t="s">
        <v>400</v>
      </c>
      <c r="X46" s="30" t="s">
        <v>27</v>
      </c>
      <c r="Y46" s="30" t="s">
        <v>396</v>
      </c>
      <c r="Z46" s="30" t="s">
        <v>389</v>
      </c>
      <c r="AA46" s="30" t="s">
        <v>390</v>
      </c>
      <c r="AB46" s="30" t="s">
        <v>391</v>
      </c>
      <c r="AC46" s="30" t="s">
        <v>392</v>
      </c>
      <c r="AD46" s="30" t="s">
        <v>393</v>
      </c>
      <c r="AE46" s="30">
        <v>9</v>
      </c>
      <c r="AF46" s="30" t="s">
        <v>394</v>
      </c>
    </row>
    <row r="47" spans="1:32" hidden="1" x14ac:dyDescent="0.35">
      <c r="A47" s="30">
        <v>1016619</v>
      </c>
      <c r="B47" s="30" t="s">
        <v>162</v>
      </c>
      <c r="C47" s="30" t="s">
        <v>12</v>
      </c>
      <c r="D47" s="30" t="s">
        <v>513</v>
      </c>
      <c r="E47" s="30" t="s">
        <v>517</v>
      </c>
      <c r="F47" s="30" t="s">
        <v>396</v>
      </c>
      <c r="G47" s="30" t="s">
        <v>392</v>
      </c>
      <c r="H47" s="30" t="s">
        <v>393</v>
      </c>
      <c r="I47" s="30" t="s">
        <v>77</v>
      </c>
      <c r="J47" s="30" t="s">
        <v>387</v>
      </c>
      <c r="K47" s="30" t="s">
        <v>387</v>
      </c>
      <c r="L47" s="30">
        <v>100</v>
      </c>
      <c r="M47" s="30">
        <v>1700</v>
      </c>
      <c r="N47" s="31">
        <v>1.2195121951219513E-2</v>
      </c>
      <c r="O47" s="32">
        <f>(L47/100)*M47*N47*(20*AE47)</f>
        <v>3731.707317073171</v>
      </c>
      <c r="P47" s="33">
        <v>898608</v>
      </c>
      <c r="Q47" s="33">
        <v>300000</v>
      </c>
      <c r="R47" s="33">
        <f>IFERROR(P47*(L47/100),"-")</f>
        <v>898608</v>
      </c>
      <c r="S47" s="33">
        <f>IFERROR(Q47*(L47/100),"-")</f>
        <v>300000</v>
      </c>
      <c r="T47" s="32">
        <f>IFERROR((R47+S47)/(86*12),"-")</f>
        <v>1161.4418604651162</v>
      </c>
      <c r="U47" s="32">
        <f>O47-T47</f>
        <v>2570.2654566080546</v>
      </c>
      <c r="V47" s="34">
        <f>U47/O47</f>
        <v>0.68876394588843293</v>
      </c>
      <c r="W47" s="30" t="s">
        <v>400</v>
      </c>
      <c r="X47" s="30" t="s">
        <v>27</v>
      </c>
      <c r="Y47" s="30" t="s">
        <v>396</v>
      </c>
      <c r="Z47" s="30" t="s">
        <v>389</v>
      </c>
      <c r="AA47" s="30" t="s">
        <v>390</v>
      </c>
      <c r="AB47" s="30" t="s">
        <v>391</v>
      </c>
      <c r="AC47" s="30" t="s">
        <v>392</v>
      </c>
      <c r="AD47" s="30" t="s">
        <v>393</v>
      </c>
      <c r="AE47" s="30">
        <v>9</v>
      </c>
      <c r="AF47" s="30" t="s">
        <v>394</v>
      </c>
    </row>
    <row r="48" spans="1:32" hidden="1" x14ac:dyDescent="0.35">
      <c r="A48" s="30">
        <v>1017704</v>
      </c>
      <c r="B48" s="30" t="s">
        <v>315</v>
      </c>
      <c r="C48" s="30" t="s">
        <v>12</v>
      </c>
      <c r="D48" s="30" t="s">
        <v>513</v>
      </c>
      <c r="E48" s="30" t="s">
        <v>517</v>
      </c>
      <c r="F48" s="30" t="s">
        <v>396</v>
      </c>
      <c r="G48" s="30" t="s">
        <v>511</v>
      </c>
      <c r="H48" s="30" t="s">
        <v>522</v>
      </c>
      <c r="I48" s="30" t="s">
        <v>418</v>
      </c>
      <c r="J48" s="30" t="s">
        <v>387</v>
      </c>
      <c r="K48" s="30" t="s">
        <v>387</v>
      </c>
      <c r="L48" s="30">
        <v>100</v>
      </c>
      <c r="M48" s="30">
        <v>1700</v>
      </c>
      <c r="N48" s="31">
        <v>1.2195121951219513E-2</v>
      </c>
      <c r="O48" s="32">
        <f>(L48/100)*M48*N48*(20*AE48)</f>
        <v>3731.707317073171</v>
      </c>
      <c r="P48" s="33">
        <v>1050000</v>
      </c>
      <c r="Q48" s="33">
        <v>300000</v>
      </c>
      <c r="R48" s="33">
        <f>IFERROR(P48*(L48/100),"-")</f>
        <v>1050000</v>
      </c>
      <c r="S48" s="33">
        <f>IFERROR(Q48*(L48/100),"-")</f>
        <v>300000</v>
      </c>
      <c r="T48" s="32">
        <f>IFERROR((R48+S48)/(86*12),"-")</f>
        <v>1308.1395348837209</v>
      </c>
      <c r="U48" s="32">
        <f>O48-T48</f>
        <v>2423.5677821894501</v>
      </c>
      <c r="V48" s="34">
        <f>U48/O48</f>
        <v>0.64945280437756503</v>
      </c>
      <c r="W48" s="30" t="s">
        <v>400</v>
      </c>
      <c r="X48" s="30" t="s">
        <v>27</v>
      </c>
      <c r="Y48" s="30" t="s">
        <v>396</v>
      </c>
      <c r="Z48" s="30" t="s">
        <v>389</v>
      </c>
      <c r="AA48" s="30" t="s">
        <v>390</v>
      </c>
      <c r="AB48" s="30" t="s">
        <v>391</v>
      </c>
      <c r="AC48" s="30" t="s">
        <v>392</v>
      </c>
      <c r="AD48" s="30" t="s">
        <v>393</v>
      </c>
      <c r="AE48" s="30">
        <v>9</v>
      </c>
      <c r="AF48" s="30" t="s">
        <v>394</v>
      </c>
    </row>
    <row r="49" spans="1:32" hidden="1" x14ac:dyDescent="0.35">
      <c r="A49" s="30">
        <v>1017790</v>
      </c>
      <c r="B49" s="30" t="s">
        <v>428</v>
      </c>
      <c r="C49" s="30" t="s">
        <v>12</v>
      </c>
      <c r="D49" s="30" t="s">
        <v>513</v>
      </c>
      <c r="E49" s="30" t="s">
        <v>516</v>
      </c>
      <c r="F49" s="30" t="s">
        <v>396</v>
      </c>
      <c r="G49" s="30" t="s">
        <v>511</v>
      </c>
      <c r="H49" s="30" t="s">
        <v>522</v>
      </c>
      <c r="I49" s="30" t="s">
        <v>418</v>
      </c>
      <c r="J49" s="30" t="s">
        <v>387</v>
      </c>
      <c r="K49" s="30" t="s">
        <v>387</v>
      </c>
      <c r="L49" s="30">
        <v>100</v>
      </c>
      <c r="M49" s="30">
        <v>1800</v>
      </c>
      <c r="N49" s="31">
        <v>1.2195121951219513E-2</v>
      </c>
      <c r="O49" s="32">
        <f>(L49/100)*M49*N49*(20*AE49)</f>
        <v>3951.2195121951222</v>
      </c>
      <c r="P49" s="33">
        <v>1140000</v>
      </c>
      <c r="Q49" s="33">
        <v>300000</v>
      </c>
      <c r="R49" s="33">
        <f>IFERROR(P49*(L49/100),"-")</f>
        <v>1140000</v>
      </c>
      <c r="S49" s="33">
        <f>IFERROR(Q49*(L49/100),"-")</f>
        <v>300000</v>
      </c>
      <c r="T49" s="32">
        <f>IFERROR((R49+S49)/(86*12),"-")</f>
        <v>1395.3488372093022</v>
      </c>
      <c r="U49" s="32">
        <f>O49-T49</f>
        <v>2555.8706749858202</v>
      </c>
      <c r="V49" s="34">
        <f>U49/O49</f>
        <v>0.64685615848406552</v>
      </c>
      <c r="W49" s="30" t="s">
        <v>400</v>
      </c>
      <c r="X49" s="30" t="s">
        <v>27</v>
      </c>
      <c r="Y49" s="30" t="s">
        <v>396</v>
      </c>
      <c r="Z49" s="30" t="s">
        <v>389</v>
      </c>
      <c r="AA49" s="30" t="s">
        <v>390</v>
      </c>
      <c r="AB49" s="30" t="s">
        <v>391</v>
      </c>
      <c r="AC49" s="30" t="s">
        <v>392</v>
      </c>
      <c r="AD49" s="30" t="s">
        <v>393</v>
      </c>
      <c r="AE49" s="30">
        <v>9</v>
      </c>
      <c r="AF49" s="30" t="s">
        <v>394</v>
      </c>
    </row>
    <row r="50" spans="1:32" hidden="1" x14ac:dyDescent="0.35">
      <c r="A50" s="30">
        <v>1011276</v>
      </c>
      <c r="B50" s="30" t="s">
        <v>430</v>
      </c>
      <c r="C50" s="30" t="s">
        <v>12</v>
      </c>
      <c r="D50" s="30" t="s">
        <v>513</v>
      </c>
      <c r="E50" s="30" t="s">
        <v>520</v>
      </c>
      <c r="F50" s="30" t="s">
        <v>396</v>
      </c>
      <c r="G50" s="30" t="s">
        <v>511</v>
      </c>
      <c r="H50" s="30" t="s">
        <v>521</v>
      </c>
      <c r="I50" s="30" t="s">
        <v>417</v>
      </c>
      <c r="J50" s="30" t="s">
        <v>387</v>
      </c>
      <c r="K50" s="30" t="s">
        <v>387</v>
      </c>
      <c r="L50" s="30">
        <v>100</v>
      </c>
      <c r="M50" s="30">
        <v>1800</v>
      </c>
      <c r="N50" s="31">
        <v>1.2195121951219513E-2</v>
      </c>
      <c r="O50" s="32">
        <f>(L50/100)*M50*N50*(20*AE50)</f>
        <v>3951.2195121951222</v>
      </c>
      <c r="P50" s="33">
        <v>1194600</v>
      </c>
      <c r="Q50" s="33">
        <v>300000</v>
      </c>
      <c r="R50" s="33">
        <f>IFERROR(P50*(L50/100),"-")</f>
        <v>1194600</v>
      </c>
      <c r="S50" s="33">
        <f>IFERROR(Q50*(L50/100),"-")</f>
        <v>300000</v>
      </c>
      <c r="T50" s="32">
        <f>IFERROR((R50+S50)/(86*12),"-")</f>
        <v>1448.2558139534883</v>
      </c>
      <c r="U50" s="32">
        <f>O50-T50</f>
        <v>2502.9636982416341</v>
      </c>
      <c r="V50" s="34">
        <f>U50/O50</f>
        <v>0.63346612115991974</v>
      </c>
      <c r="W50" s="30" t="s">
        <v>400</v>
      </c>
      <c r="X50" s="30" t="s">
        <v>27</v>
      </c>
      <c r="Y50" s="30" t="s">
        <v>396</v>
      </c>
      <c r="Z50" s="30" t="s">
        <v>389</v>
      </c>
      <c r="AA50" s="30" t="s">
        <v>390</v>
      </c>
      <c r="AB50" s="30" t="s">
        <v>391</v>
      </c>
      <c r="AC50" s="30" t="s">
        <v>392</v>
      </c>
      <c r="AD50" s="30" t="s">
        <v>393</v>
      </c>
      <c r="AE50" s="30">
        <v>9</v>
      </c>
      <c r="AF50" s="30" t="s">
        <v>394</v>
      </c>
    </row>
    <row r="51" spans="1:32" hidden="1" x14ac:dyDescent="0.35">
      <c r="A51" s="30">
        <v>1101708</v>
      </c>
      <c r="B51" s="30" t="s">
        <v>434</v>
      </c>
      <c r="C51" s="30" t="s">
        <v>12</v>
      </c>
      <c r="D51" s="30" t="s">
        <v>513</v>
      </c>
      <c r="E51" s="30" t="s">
        <v>516</v>
      </c>
      <c r="F51" s="30" t="s">
        <v>396</v>
      </c>
      <c r="G51" s="30" t="s">
        <v>511</v>
      </c>
      <c r="H51" s="30" t="s">
        <v>522</v>
      </c>
      <c r="I51" s="30" t="s">
        <v>418</v>
      </c>
      <c r="J51" s="30" t="s">
        <v>387</v>
      </c>
      <c r="K51" s="30" t="s">
        <v>387</v>
      </c>
      <c r="L51" s="30">
        <v>100</v>
      </c>
      <c r="M51" s="30">
        <v>1700</v>
      </c>
      <c r="N51" s="31">
        <v>1.2195121951219513E-2</v>
      </c>
      <c r="O51" s="32">
        <f>(L51/100)*M51*N51*(20*AE51)</f>
        <v>3731.707317073171</v>
      </c>
      <c r="P51" s="33">
        <v>1200000</v>
      </c>
      <c r="Q51" s="33">
        <v>300000</v>
      </c>
      <c r="R51" s="33">
        <f>IFERROR(P51*(L51/100),"-")</f>
        <v>1200000</v>
      </c>
      <c r="S51" s="33">
        <f>IFERROR(Q51*(L51/100),"-")</f>
        <v>300000</v>
      </c>
      <c r="T51" s="32">
        <f>IFERROR((R51+S51)/(86*12),"-")</f>
        <v>1453.4883720930231</v>
      </c>
      <c r="U51" s="32">
        <f>O51-T51</f>
        <v>2278.2189449801481</v>
      </c>
      <c r="V51" s="34">
        <f>U51/O51</f>
        <v>0.61050311597507234</v>
      </c>
      <c r="W51" s="30" t="s">
        <v>400</v>
      </c>
      <c r="X51" s="30" t="s">
        <v>27</v>
      </c>
      <c r="Y51" s="30" t="s">
        <v>396</v>
      </c>
      <c r="Z51" s="30" t="s">
        <v>389</v>
      </c>
      <c r="AA51" s="30" t="s">
        <v>390</v>
      </c>
      <c r="AB51" s="30" t="s">
        <v>391</v>
      </c>
      <c r="AC51" s="30" t="s">
        <v>392</v>
      </c>
      <c r="AD51" s="30" t="s">
        <v>393</v>
      </c>
      <c r="AE51" s="30">
        <v>9</v>
      </c>
      <c r="AF51" s="30" t="s">
        <v>394</v>
      </c>
    </row>
    <row r="52" spans="1:32" hidden="1" x14ac:dyDescent="0.35">
      <c r="A52" s="30">
        <v>1013343</v>
      </c>
      <c r="B52" s="30" t="s">
        <v>435</v>
      </c>
      <c r="C52" s="30" t="s">
        <v>12</v>
      </c>
      <c r="D52" s="30" t="s">
        <v>513</v>
      </c>
      <c r="E52" s="30" t="s">
        <v>516</v>
      </c>
      <c r="F52" s="30" t="s">
        <v>396</v>
      </c>
      <c r="G52" s="30" t="s">
        <v>392</v>
      </c>
      <c r="H52" s="30" t="s">
        <v>393</v>
      </c>
      <c r="I52" s="30" t="s">
        <v>77</v>
      </c>
      <c r="J52" s="30" t="s">
        <v>387</v>
      </c>
      <c r="K52" s="30" t="s">
        <v>387</v>
      </c>
      <c r="L52" s="30">
        <v>100</v>
      </c>
      <c r="M52" s="30">
        <v>1400</v>
      </c>
      <c r="N52" s="31">
        <v>1.2195121951219513E-2</v>
      </c>
      <c r="O52" s="32">
        <f>(L52/100)*M52*N52*(20*AE52)</f>
        <v>3073.1707317073174</v>
      </c>
      <c r="P52" s="33">
        <v>1201008</v>
      </c>
      <c r="Q52" s="33">
        <v>300000</v>
      </c>
      <c r="R52" s="33">
        <f>IFERROR(P52*(L52/100),"-")</f>
        <v>1201008</v>
      </c>
      <c r="S52" s="33">
        <f>IFERROR(Q52*(L52/100),"-")</f>
        <v>300000</v>
      </c>
      <c r="T52" s="32">
        <f>IFERROR((R52+S52)/(86*12),"-")</f>
        <v>1454.4651162790697</v>
      </c>
      <c r="U52" s="32">
        <f>O52-T52</f>
        <v>1618.7056154282477</v>
      </c>
      <c r="V52" s="34">
        <f>U52/O52</f>
        <v>0.52672166851236624</v>
      </c>
      <c r="W52" s="30" t="s">
        <v>400</v>
      </c>
      <c r="X52" s="30" t="s">
        <v>27</v>
      </c>
      <c r="Y52" s="30" t="s">
        <v>396</v>
      </c>
      <c r="Z52" s="30" t="s">
        <v>389</v>
      </c>
      <c r="AA52" s="30" t="s">
        <v>390</v>
      </c>
      <c r="AB52" s="30" t="s">
        <v>391</v>
      </c>
      <c r="AC52" s="30" t="s">
        <v>392</v>
      </c>
      <c r="AD52" s="30" t="s">
        <v>393</v>
      </c>
      <c r="AE52" s="30">
        <v>9</v>
      </c>
      <c r="AF52" s="30" t="s">
        <v>394</v>
      </c>
    </row>
    <row r="53" spans="1:32" hidden="1" x14ac:dyDescent="0.35">
      <c r="A53" s="30">
        <v>1100167</v>
      </c>
      <c r="B53" s="30" t="s">
        <v>213</v>
      </c>
      <c r="C53" s="30" t="s">
        <v>12</v>
      </c>
      <c r="D53" s="30" t="s">
        <v>513</v>
      </c>
      <c r="E53" s="30" t="s">
        <v>516</v>
      </c>
      <c r="F53" s="30" t="s">
        <v>396</v>
      </c>
      <c r="G53" s="30" t="s">
        <v>511</v>
      </c>
      <c r="H53" s="30" t="s">
        <v>522</v>
      </c>
      <c r="I53" s="30" t="s">
        <v>418</v>
      </c>
      <c r="J53" s="30" t="s">
        <v>387</v>
      </c>
      <c r="K53" s="30" t="s">
        <v>387</v>
      </c>
      <c r="L53" s="30">
        <v>100</v>
      </c>
      <c r="M53" s="30">
        <v>1400</v>
      </c>
      <c r="N53" s="31">
        <v>1.2195121951219513E-2</v>
      </c>
      <c r="O53" s="32">
        <f>(L53/100)*M53*N53*(20*AE53)</f>
        <v>3073.1707317073174</v>
      </c>
      <c r="P53" s="33">
        <v>1249704</v>
      </c>
      <c r="Q53" s="33">
        <v>300000</v>
      </c>
      <c r="R53" s="33">
        <f>IFERROR(P53*(L53/100),"-")</f>
        <v>1249704</v>
      </c>
      <c r="S53" s="33">
        <f>IFERROR(Q53*(L53/100),"-")</f>
        <v>300000</v>
      </c>
      <c r="T53" s="32">
        <f>IFERROR((R53+S53)/(86*12),"-")</f>
        <v>1501.6511627906978</v>
      </c>
      <c r="U53" s="32">
        <f>O53-T53</f>
        <v>1571.5195689166196</v>
      </c>
      <c r="V53" s="34">
        <f>U53/O53</f>
        <v>0.51136747877445554</v>
      </c>
      <c r="W53" s="30" t="s">
        <v>400</v>
      </c>
      <c r="X53" s="30" t="s">
        <v>27</v>
      </c>
      <c r="Y53" s="30" t="s">
        <v>396</v>
      </c>
      <c r="Z53" s="30" t="s">
        <v>389</v>
      </c>
      <c r="AA53" s="30" t="s">
        <v>390</v>
      </c>
      <c r="AB53" s="30" t="s">
        <v>391</v>
      </c>
      <c r="AC53" s="30" t="s">
        <v>392</v>
      </c>
      <c r="AD53" s="30" t="s">
        <v>393</v>
      </c>
      <c r="AE53" s="30">
        <v>9</v>
      </c>
      <c r="AF53" s="30" t="s">
        <v>394</v>
      </c>
    </row>
    <row r="54" spans="1:32" hidden="1" x14ac:dyDescent="0.35">
      <c r="A54" s="30">
        <v>1016893</v>
      </c>
      <c r="B54" s="30" t="s">
        <v>438</v>
      </c>
      <c r="C54" s="30" t="s">
        <v>12</v>
      </c>
      <c r="D54" s="30" t="s">
        <v>513</v>
      </c>
      <c r="E54" s="30" t="s">
        <v>516</v>
      </c>
      <c r="F54" s="30" t="s">
        <v>396</v>
      </c>
      <c r="G54" s="30" t="s">
        <v>392</v>
      </c>
      <c r="H54" s="30" t="s">
        <v>393</v>
      </c>
      <c r="I54" s="30" t="s">
        <v>77</v>
      </c>
      <c r="J54" s="30" t="s">
        <v>387</v>
      </c>
      <c r="K54" s="30" t="s">
        <v>387</v>
      </c>
      <c r="L54" s="30">
        <v>100</v>
      </c>
      <c r="M54" s="30">
        <v>1200</v>
      </c>
      <c r="N54" s="31">
        <v>1.2195121951219513E-2</v>
      </c>
      <c r="O54" s="32">
        <f>(L54/100)*M54*N54*(20*AE54)</f>
        <v>2634.146341463415</v>
      </c>
      <c r="P54" s="33">
        <v>1266504</v>
      </c>
      <c r="Q54" s="33">
        <v>300000</v>
      </c>
      <c r="R54" s="33">
        <f>IFERROR(P54*(L54/100),"-")</f>
        <v>1266504</v>
      </c>
      <c r="S54" s="33">
        <f>IFERROR(Q54*(L54/100),"-")</f>
        <v>300000</v>
      </c>
      <c r="T54" s="32">
        <f>IFERROR((R54+S54)/(86*12),"-")</f>
        <v>1517.9302325581396</v>
      </c>
      <c r="U54" s="32">
        <f>O54-T54</f>
        <v>1116.2161089052754</v>
      </c>
      <c r="V54" s="34">
        <f>U54/O54</f>
        <v>0.42374870801033598</v>
      </c>
      <c r="W54" s="30" t="s">
        <v>400</v>
      </c>
      <c r="X54" s="30" t="s">
        <v>27</v>
      </c>
      <c r="Y54" s="30" t="s">
        <v>396</v>
      </c>
      <c r="Z54" s="30" t="s">
        <v>389</v>
      </c>
      <c r="AA54" s="30" t="s">
        <v>390</v>
      </c>
      <c r="AB54" s="30" t="s">
        <v>391</v>
      </c>
      <c r="AC54" s="30" t="s">
        <v>392</v>
      </c>
      <c r="AD54" s="30" t="s">
        <v>393</v>
      </c>
      <c r="AE54" s="30">
        <v>9</v>
      </c>
      <c r="AF54" s="30" t="s">
        <v>394</v>
      </c>
    </row>
    <row r="55" spans="1:32" hidden="1" x14ac:dyDescent="0.35">
      <c r="A55" s="30">
        <v>1016581</v>
      </c>
      <c r="B55" s="30" t="s">
        <v>141</v>
      </c>
      <c r="C55" s="30" t="s">
        <v>12</v>
      </c>
      <c r="D55" s="30" t="s">
        <v>513</v>
      </c>
      <c r="E55" s="30" t="s">
        <v>516</v>
      </c>
      <c r="F55" s="30" t="s">
        <v>396</v>
      </c>
      <c r="G55" s="30" t="s">
        <v>392</v>
      </c>
      <c r="H55" s="30" t="s">
        <v>393</v>
      </c>
      <c r="I55" s="30" t="s">
        <v>77</v>
      </c>
      <c r="J55" s="30" t="s">
        <v>387</v>
      </c>
      <c r="K55" s="30" t="s">
        <v>387</v>
      </c>
      <c r="L55" s="30">
        <v>100</v>
      </c>
      <c r="M55" s="30">
        <v>1400</v>
      </c>
      <c r="N55" s="31">
        <v>1.2195121951219513E-2</v>
      </c>
      <c r="O55" s="32">
        <f>(L55/100)*M55*N55*(20*AE55)</f>
        <v>3073.1707317073174</v>
      </c>
      <c r="P55" s="33">
        <v>1310208</v>
      </c>
      <c r="Q55" s="33">
        <v>300000</v>
      </c>
      <c r="R55" s="33">
        <f>IFERROR(P55*(L55/100),"-")</f>
        <v>1310208</v>
      </c>
      <c r="S55" s="33">
        <f>IFERROR(Q55*(L55/100),"-")</f>
        <v>300000</v>
      </c>
      <c r="T55" s="32">
        <f>IFERROR((R55+S55)/(86*12),"-")</f>
        <v>1560.2790697674418</v>
      </c>
      <c r="U55" s="32">
        <f>O55-T55</f>
        <v>1512.8916619398756</v>
      </c>
      <c r="V55" s="34">
        <f>U55/O55</f>
        <v>0.49229014396456267</v>
      </c>
      <c r="W55" s="30" t="s">
        <v>400</v>
      </c>
      <c r="X55" s="30" t="s">
        <v>27</v>
      </c>
      <c r="Y55" s="30" t="s">
        <v>396</v>
      </c>
      <c r="Z55" s="30" t="s">
        <v>389</v>
      </c>
      <c r="AA55" s="30" t="s">
        <v>390</v>
      </c>
      <c r="AB55" s="30" t="s">
        <v>391</v>
      </c>
      <c r="AC55" s="30" t="s">
        <v>392</v>
      </c>
      <c r="AD55" s="30" t="s">
        <v>393</v>
      </c>
      <c r="AE55" s="30">
        <v>9</v>
      </c>
      <c r="AF55" s="30" t="s">
        <v>394</v>
      </c>
    </row>
    <row r="56" spans="1:32" hidden="1" x14ac:dyDescent="0.35">
      <c r="A56" s="30">
        <v>1016755</v>
      </c>
      <c r="B56" s="30" t="s">
        <v>442</v>
      </c>
      <c r="C56" s="30" t="s">
        <v>12</v>
      </c>
      <c r="D56" s="30" t="s">
        <v>513</v>
      </c>
      <c r="E56" s="30" t="s">
        <v>517</v>
      </c>
      <c r="F56" s="30" t="s">
        <v>396</v>
      </c>
      <c r="G56" s="30" t="s">
        <v>392</v>
      </c>
      <c r="H56" s="30" t="s">
        <v>393</v>
      </c>
      <c r="I56" s="30" t="s">
        <v>77</v>
      </c>
      <c r="J56" s="30" t="s">
        <v>387</v>
      </c>
      <c r="K56" s="30" t="s">
        <v>387</v>
      </c>
      <c r="L56" s="30">
        <v>100</v>
      </c>
      <c r="M56" s="30">
        <v>1200</v>
      </c>
      <c r="N56" s="31">
        <v>1.2195121951219513E-2</v>
      </c>
      <c r="O56" s="32">
        <f>(L56/100)*M56*N56*(20*AE56)</f>
        <v>2634.146341463415</v>
      </c>
      <c r="P56" s="33">
        <v>1345104</v>
      </c>
      <c r="Q56" s="33">
        <v>300000</v>
      </c>
      <c r="R56" s="33">
        <f>IFERROR(P56*(L56/100),"-")</f>
        <v>1345104</v>
      </c>
      <c r="S56" s="33">
        <f>IFERROR(Q56*(L56/100),"-")</f>
        <v>300000</v>
      </c>
      <c r="T56" s="32">
        <f>IFERROR((R56+S56)/(86*12),"-")</f>
        <v>1594.0930232558139</v>
      </c>
      <c r="U56" s="32">
        <f>O56-T56</f>
        <v>1040.053318207601</v>
      </c>
      <c r="V56" s="34">
        <f>U56/O56</f>
        <v>0.39483505598621887</v>
      </c>
      <c r="W56" s="30" t="s">
        <v>400</v>
      </c>
      <c r="X56" s="30" t="s">
        <v>27</v>
      </c>
      <c r="Y56" s="30" t="s">
        <v>396</v>
      </c>
      <c r="Z56" s="30" t="s">
        <v>389</v>
      </c>
      <c r="AA56" s="30" t="s">
        <v>390</v>
      </c>
      <c r="AB56" s="30" t="s">
        <v>391</v>
      </c>
      <c r="AC56" s="30" t="s">
        <v>392</v>
      </c>
      <c r="AD56" s="30" t="s">
        <v>393</v>
      </c>
      <c r="AE56" s="30">
        <v>9</v>
      </c>
      <c r="AF56" s="30" t="s">
        <v>394</v>
      </c>
    </row>
    <row r="57" spans="1:32" hidden="1" x14ac:dyDescent="0.35">
      <c r="A57" s="30">
        <v>1101761</v>
      </c>
      <c r="B57" s="30" t="s">
        <v>339</v>
      </c>
      <c r="C57" s="30" t="s">
        <v>12</v>
      </c>
      <c r="D57" s="30" t="s">
        <v>513</v>
      </c>
      <c r="E57" s="30" t="s">
        <v>516</v>
      </c>
      <c r="F57" s="30" t="s">
        <v>396</v>
      </c>
      <c r="G57" s="30" t="s">
        <v>392</v>
      </c>
      <c r="H57" s="30" t="s">
        <v>393</v>
      </c>
      <c r="I57" s="30" t="s">
        <v>131</v>
      </c>
      <c r="J57" s="30" t="s">
        <v>387</v>
      </c>
      <c r="K57" s="30" t="s">
        <v>387</v>
      </c>
      <c r="L57" s="30">
        <v>100</v>
      </c>
      <c r="M57" s="30">
        <v>1400</v>
      </c>
      <c r="N57" s="31">
        <v>1.2195121951219513E-2</v>
      </c>
      <c r="O57" s="32">
        <f>(L57/100)*M57*N57*(20*AE57)</f>
        <v>3073.1707317073174</v>
      </c>
      <c r="P57" s="33">
        <v>1350000</v>
      </c>
      <c r="Q57" s="33">
        <v>300000</v>
      </c>
      <c r="R57" s="33">
        <f>IFERROR(P57*(L57/100),"-")</f>
        <v>1350000</v>
      </c>
      <c r="S57" s="33">
        <f>IFERROR(Q57*(L57/100),"-")</f>
        <v>300000</v>
      </c>
      <c r="T57" s="32">
        <f>IFERROR((R57+S57)/(86*12),"-")</f>
        <v>1598.8372093023256</v>
      </c>
      <c r="U57" s="32">
        <f>O57-T57</f>
        <v>1474.3335224049918</v>
      </c>
      <c r="V57" s="34">
        <f>U57/O57</f>
        <v>0.47974344776670363</v>
      </c>
      <c r="W57" s="30" t="s">
        <v>400</v>
      </c>
      <c r="X57" s="30" t="s">
        <v>27</v>
      </c>
      <c r="Y57" s="30" t="s">
        <v>396</v>
      </c>
      <c r="Z57" s="30" t="s">
        <v>389</v>
      </c>
      <c r="AA57" s="30" t="s">
        <v>390</v>
      </c>
      <c r="AB57" s="30" t="s">
        <v>391</v>
      </c>
      <c r="AC57" s="30" t="s">
        <v>392</v>
      </c>
      <c r="AD57" s="30" t="s">
        <v>393</v>
      </c>
      <c r="AE57" s="30">
        <v>9</v>
      </c>
      <c r="AF57" s="30" t="s">
        <v>394</v>
      </c>
    </row>
    <row r="58" spans="1:32" hidden="1" x14ac:dyDescent="0.35">
      <c r="A58" s="30">
        <v>1101087</v>
      </c>
      <c r="B58" s="30" t="s">
        <v>447</v>
      </c>
      <c r="C58" s="30" t="s">
        <v>12</v>
      </c>
      <c r="D58" s="30" t="s">
        <v>513</v>
      </c>
      <c r="E58" s="30" t="s">
        <v>520</v>
      </c>
      <c r="F58" s="30" t="s">
        <v>396</v>
      </c>
      <c r="G58" s="30" t="s">
        <v>511</v>
      </c>
      <c r="H58" s="30" t="s">
        <v>521</v>
      </c>
      <c r="I58" s="30" t="s">
        <v>417</v>
      </c>
      <c r="J58" s="30" t="s">
        <v>387</v>
      </c>
      <c r="K58" s="30" t="s">
        <v>387</v>
      </c>
      <c r="L58" s="30">
        <v>100</v>
      </c>
      <c r="M58" s="30">
        <v>1400</v>
      </c>
      <c r="N58" s="31">
        <v>1.2195121951219513E-2</v>
      </c>
      <c r="O58" s="32">
        <f>(L58/100)*M58*N58*(20*AE58)</f>
        <v>3073.1707317073174</v>
      </c>
      <c r="P58" s="33">
        <v>1400004</v>
      </c>
      <c r="Q58" s="33">
        <v>300000</v>
      </c>
      <c r="R58" s="33">
        <f>IFERROR(P58*(L58/100),"-")</f>
        <v>1400004</v>
      </c>
      <c r="S58" s="33">
        <f>IFERROR(Q58*(L58/100),"-")</f>
        <v>300000</v>
      </c>
      <c r="T58" s="32">
        <f>IFERROR((R58+S58)/(86*12),"-")</f>
        <v>1647.2906976744187</v>
      </c>
      <c r="U58" s="32">
        <f>O58-T58</f>
        <v>1425.8800340328987</v>
      </c>
      <c r="V58" s="34">
        <f>U58/O58</f>
        <v>0.46397683647102256</v>
      </c>
      <c r="W58" s="30" t="s">
        <v>400</v>
      </c>
      <c r="X58" s="30" t="s">
        <v>27</v>
      </c>
      <c r="Y58" s="30" t="s">
        <v>396</v>
      </c>
      <c r="Z58" s="30" t="s">
        <v>389</v>
      </c>
      <c r="AA58" s="30" t="s">
        <v>390</v>
      </c>
      <c r="AB58" s="30" t="s">
        <v>391</v>
      </c>
      <c r="AC58" s="30" t="s">
        <v>392</v>
      </c>
      <c r="AD58" s="30" t="s">
        <v>393</v>
      </c>
      <c r="AE58" s="30">
        <v>9</v>
      </c>
      <c r="AF58" s="30" t="s">
        <v>394</v>
      </c>
    </row>
    <row r="59" spans="1:32" hidden="1" x14ac:dyDescent="0.35">
      <c r="A59" s="30">
        <v>1101300</v>
      </c>
      <c r="B59" s="30" t="s">
        <v>279</v>
      </c>
      <c r="C59" s="30" t="s">
        <v>12</v>
      </c>
      <c r="D59" s="30" t="s">
        <v>513</v>
      </c>
      <c r="E59" s="30" t="s">
        <v>516</v>
      </c>
      <c r="F59" s="30" t="s">
        <v>396</v>
      </c>
      <c r="G59" s="30" t="s">
        <v>392</v>
      </c>
      <c r="H59" s="30" t="s">
        <v>393</v>
      </c>
      <c r="I59" s="30" t="s">
        <v>131</v>
      </c>
      <c r="J59" s="30" t="s">
        <v>387</v>
      </c>
      <c r="K59" s="30" t="s">
        <v>387</v>
      </c>
      <c r="L59" s="30">
        <v>100</v>
      </c>
      <c r="M59" s="30">
        <v>1700</v>
      </c>
      <c r="N59" s="31">
        <v>1.2195121951219513E-2</v>
      </c>
      <c r="O59" s="32">
        <f>(L59/100)*M59*N59*(20*AE59)</f>
        <v>3731.707317073171</v>
      </c>
      <c r="P59" s="33">
        <v>1500000</v>
      </c>
      <c r="Q59" s="33">
        <v>300000</v>
      </c>
      <c r="R59" s="33">
        <f>IFERROR(P59*(L59/100),"-")</f>
        <v>1500000</v>
      </c>
      <c r="S59" s="33">
        <f>IFERROR(Q59*(L59/100),"-")</f>
        <v>300000</v>
      </c>
      <c r="T59" s="32">
        <f>IFERROR((R59+S59)/(86*12),"-")</f>
        <v>1744.1860465116279</v>
      </c>
      <c r="U59" s="32">
        <f>O59-T59</f>
        <v>1987.5212705615431</v>
      </c>
      <c r="V59" s="34">
        <f>U59/O59</f>
        <v>0.53260373917008663</v>
      </c>
      <c r="W59" s="30" t="s">
        <v>400</v>
      </c>
      <c r="X59" s="30" t="s">
        <v>27</v>
      </c>
      <c r="Y59" s="30" t="s">
        <v>396</v>
      </c>
      <c r="Z59" s="30" t="s">
        <v>389</v>
      </c>
      <c r="AA59" s="30" t="s">
        <v>390</v>
      </c>
      <c r="AB59" s="30" t="s">
        <v>391</v>
      </c>
      <c r="AC59" s="30" t="s">
        <v>392</v>
      </c>
      <c r="AD59" s="30" t="s">
        <v>393</v>
      </c>
      <c r="AE59" s="30">
        <v>9</v>
      </c>
      <c r="AF59" s="30" t="s">
        <v>394</v>
      </c>
    </row>
    <row r="60" spans="1:32" hidden="1" x14ac:dyDescent="0.35">
      <c r="A60" s="30">
        <v>1101621</v>
      </c>
      <c r="B60" s="30" t="s">
        <v>455</v>
      </c>
      <c r="C60" s="30" t="s">
        <v>12</v>
      </c>
      <c r="D60" s="30" t="s">
        <v>513</v>
      </c>
      <c r="E60" s="30" t="s">
        <v>516</v>
      </c>
      <c r="F60" s="30" t="s">
        <v>396</v>
      </c>
      <c r="G60" s="30" t="s">
        <v>392</v>
      </c>
      <c r="H60" s="30" t="s">
        <v>393</v>
      </c>
      <c r="I60" s="30" t="s">
        <v>77</v>
      </c>
      <c r="J60" s="30" t="s">
        <v>387</v>
      </c>
      <c r="K60" s="30" t="s">
        <v>387</v>
      </c>
      <c r="L60" s="30">
        <v>100</v>
      </c>
      <c r="M60" s="30">
        <v>1700</v>
      </c>
      <c r="N60" s="31">
        <v>1.2195121951219513E-2</v>
      </c>
      <c r="O60" s="32">
        <f>(L60/100)*M60*N60*(20*AE60)</f>
        <v>3731.707317073171</v>
      </c>
      <c r="P60" s="33">
        <v>1500000</v>
      </c>
      <c r="Q60" s="33">
        <v>300000</v>
      </c>
      <c r="R60" s="33">
        <f>IFERROR(P60*(L60/100),"-")</f>
        <v>1500000</v>
      </c>
      <c r="S60" s="33">
        <f>IFERROR(Q60*(L60/100),"-")</f>
        <v>300000</v>
      </c>
      <c r="T60" s="32">
        <f>IFERROR((R60+S60)/(86*12),"-")</f>
        <v>1744.1860465116279</v>
      </c>
      <c r="U60" s="32">
        <f>O60-T60</f>
        <v>1987.5212705615431</v>
      </c>
      <c r="V60" s="34">
        <f>U60/O60</f>
        <v>0.53260373917008663</v>
      </c>
      <c r="W60" s="30" t="s">
        <v>400</v>
      </c>
      <c r="X60" s="30" t="s">
        <v>27</v>
      </c>
      <c r="Y60" s="30" t="s">
        <v>396</v>
      </c>
      <c r="Z60" s="30" t="s">
        <v>389</v>
      </c>
      <c r="AA60" s="30" t="s">
        <v>390</v>
      </c>
      <c r="AB60" s="30" t="s">
        <v>391</v>
      </c>
      <c r="AC60" s="30" t="s">
        <v>392</v>
      </c>
      <c r="AD60" s="30" t="s">
        <v>393</v>
      </c>
      <c r="AE60" s="30">
        <v>9</v>
      </c>
      <c r="AF60" s="30" t="s">
        <v>394</v>
      </c>
    </row>
    <row r="61" spans="1:32" hidden="1" x14ac:dyDescent="0.35">
      <c r="A61" s="30">
        <v>1007148</v>
      </c>
      <c r="B61" s="30" t="s">
        <v>26</v>
      </c>
      <c r="C61" s="30" t="s">
        <v>12</v>
      </c>
      <c r="D61" s="30" t="s">
        <v>513</v>
      </c>
      <c r="E61" s="30" t="s">
        <v>529</v>
      </c>
      <c r="F61" s="30" t="s">
        <v>396</v>
      </c>
      <c r="G61" s="30" t="s">
        <v>392</v>
      </c>
      <c r="H61" s="30" t="s">
        <v>393</v>
      </c>
      <c r="I61" s="30" t="s">
        <v>77</v>
      </c>
      <c r="J61" s="30" t="s">
        <v>387</v>
      </c>
      <c r="K61" s="30" t="s">
        <v>387</v>
      </c>
      <c r="L61" s="30">
        <v>100</v>
      </c>
      <c r="M61" s="30">
        <v>1800</v>
      </c>
      <c r="N61" s="31">
        <v>1.2195121951219513E-2</v>
      </c>
      <c r="O61" s="32">
        <f>(L61/100)*M61*N61*(20*AE61)</f>
        <v>3951.2195121951222</v>
      </c>
      <c r="P61" s="33">
        <v>1521704</v>
      </c>
      <c r="Q61" s="33">
        <v>300000</v>
      </c>
      <c r="R61" s="33">
        <f>IFERROR(P61*(L61/100),"-")</f>
        <v>1521704</v>
      </c>
      <c r="S61" s="33">
        <f>IFERROR(Q61*(L61/100),"-")</f>
        <v>300000</v>
      </c>
      <c r="T61" s="32">
        <f>IFERROR((R61+S61)/(86*12),"-")</f>
        <v>1765.2170542635658</v>
      </c>
      <c r="U61" s="32">
        <f>O61-T61</f>
        <v>2186.0024579315564</v>
      </c>
      <c r="V61" s="34">
        <f>U61/O61</f>
        <v>0.55324753564934448</v>
      </c>
      <c r="W61" s="30" t="s">
        <v>400</v>
      </c>
      <c r="X61" s="30" t="s">
        <v>27</v>
      </c>
      <c r="Y61" s="30" t="s">
        <v>396</v>
      </c>
      <c r="Z61" s="30" t="s">
        <v>389</v>
      </c>
      <c r="AA61" s="30" t="s">
        <v>390</v>
      </c>
      <c r="AB61" s="30" t="s">
        <v>391</v>
      </c>
      <c r="AC61" s="30" t="s">
        <v>392</v>
      </c>
      <c r="AD61" s="30" t="s">
        <v>393</v>
      </c>
      <c r="AE61" s="30">
        <v>9</v>
      </c>
      <c r="AF61" s="30" t="s">
        <v>394</v>
      </c>
    </row>
    <row r="62" spans="1:32" hidden="1" x14ac:dyDescent="0.35">
      <c r="A62" s="30">
        <v>1017397</v>
      </c>
      <c r="B62" s="30" t="s">
        <v>460</v>
      </c>
      <c r="C62" s="30" t="s">
        <v>12</v>
      </c>
      <c r="D62" s="30" t="s">
        <v>513</v>
      </c>
      <c r="E62" s="30" t="s">
        <v>516</v>
      </c>
      <c r="F62" s="30" t="s">
        <v>396</v>
      </c>
      <c r="G62" s="30" t="s">
        <v>511</v>
      </c>
      <c r="H62" s="30" t="s">
        <v>522</v>
      </c>
      <c r="I62" s="30" t="s">
        <v>418</v>
      </c>
      <c r="J62" s="30" t="s">
        <v>387</v>
      </c>
      <c r="K62" s="30" t="s">
        <v>387</v>
      </c>
      <c r="L62" s="30">
        <v>100</v>
      </c>
      <c r="M62" s="30">
        <v>1800</v>
      </c>
      <c r="N62" s="31">
        <v>1.2195121951219513E-2</v>
      </c>
      <c r="O62" s="32">
        <f>(L62/100)*M62*N62*(20*AE62)</f>
        <v>3951.2195121951222</v>
      </c>
      <c r="P62" s="33">
        <v>1524708</v>
      </c>
      <c r="Q62" s="33">
        <v>300000</v>
      </c>
      <c r="R62" s="33">
        <f>IFERROR(P62*(L62/100),"-")</f>
        <v>1524708</v>
      </c>
      <c r="S62" s="33">
        <f>IFERROR(Q62*(L62/100),"-")</f>
        <v>300000</v>
      </c>
      <c r="T62" s="32">
        <f>IFERROR((R62+S62)/(86*12),"-")</f>
        <v>1768.1279069767443</v>
      </c>
      <c r="U62" s="32">
        <f>O62-T62</f>
        <v>2183.0916052183779</v>
      </c>
      <c r="V62" s="34">
        <f>U62/O62</f>
        <v>0.55251083835773762</v>
      </c>
      <c r="W62" s="30" t="s">
        <v>400</v>
      </c>
      <c r="X62" s="30" t="s">
        <v>27</v>
      </c>
      <c r="Y62" s="30" t="s">
        <v>396</v>
      </c>
      <c r="Z62" s="30" t="s">
        <v>389</v>
      </c>
      <c r="AA62" s="30" t="s">
        <v>390</v>
      </c>
      <c r="AB62" s="30" t="s">
        <v>391</v>
      </c>
      <c r="AC62" s="30" t="s">
        <v>392</v>
      </c>
      <c r="AD62" s="30" t="s">
        <v>393</v>
      </c>
      <c r="AE62" s="30">
        <v>9</v>
      </c>
      <c r="AF62" s="30" t="s">
        <v>394</v>
      </c>
    </row>
    <row r="63" spans="1:32" hidden="1" x14ac:dyDescent="0.35">
      <c r="A63" s="30">
        <v>1016532</v>
      </c>
      <c r="B63" s="30" t="s">
        <v>155</v>
      </c>
      <c r="C63" s="30" t="s">
        <v>12</v>
      </c>
      <c r="D63" s="30" t="s">
        <v>513</v>
      </c>
      <c r="E63" s="30" t="s">
        <v>520</v>
      </c>
      <c r="F63" s="30" t="s">
        <v>396</v>
      </c>
      <c r="G63" s="30" t="s">
        <v>511</v>
      </c>
      <c r="H63" s="30" t="s">
        <v>521</v>
      </c>
      <c r="I63" s="30" t="s">
        <v>417</v>
      </c>
      <c r="J63" s="30" t="s">
        <v>387</v>
      </c>
      <c r="K63" s="30" t="s">
        <v>387</v>
      </c>
      <c r="L63" s="30">
        <v>100</v>
      </c>
      <c r="M63" s="30">
        <v>1700</v>
      </c>
      <c r="N63" s="31">
        <v>1.2195121951219513E-2</v>
      </c>
      <c r="O63" s="32">
        <f>(L63/100)*M63*N63*(20*AE63)</f>
        <v>3731.707317073171</v>
      </c>
      <c r="P63" s="33">
        <v>1550304</v>
      </c>
      <c r="Q63" s="33">
        <v>300000</v>
      </c>
      <c r="R63" s="33">
        <f>IFERROR(P63*(L63/100),"-")</f>
        <v>1550304</v>
      </c>
      <c r="S63" s="33">
        <f>IFERROR(Q63*(L63/100),"-")</f>
        <v>300000</v>
      </c>
      <c r="T63" s="32">
        <f>IFERROR((R63+S63)/(86*12),"-")</f>
        <v>1792.9302325581396</v>
      </c>
      <c r="U63" s="32">
        <f>O63-T63</f>
        <v>1938.7770845150314</v>
      </c>
      <c r="V63" s="34">
        <f>U63/O63</f>
        <v>0.51954157166742665</v>
      </c>
      <c r="W63" s="30" t="s">
        <v>400</v>
      </c>
      <c r="X63" s="30" t="s">
        <v>27</v>
      </c>
      <c r="Y63" s="30" t="s">
        <v>396</v>
      </c>
      <c r="Z63" s="30" t="s">
        <v>389</v>
      </c>
      <c r="AA63" s="30" t="s">
        <v>390</v>
      </c>
      <c r="AB63" s="30" t="s">
        <v>391</v>
      </c>
      <c r="AC63" s="30" t="s">
        <v>392</v>
      </c>
      <c r="AD63" s="30" t="s">
        <v>393</v>
      </c>
      <c r="AE63" s="30">
        <v>9</v>
      </c>
      <c r="AF63" s="30" t="s">
        <v>394</v>
      </c>
    </row>
    <row r="64" spans="1:32" hidden="1" x14ac:dyDescent="0.35">
      <c r="A64" s="30">
        <v>1009263</v>
      </c>
      <c r="B64" s="30" t="s">
        <v>467</v>
      </c>
      <c r="C64" s="30" t="s">
        <v>12</v>
      </c>
      <c r="D64" s="30" t="s">
        <v>513</v>
      </c>
      <c r="E64" s="30" t="s">
        <v>518</v>
      </c>
      <c r="F64" s="30" t="s">
        <v>396</v>
      </c>
      <c r="G64" s="30" t="s">
        <v>511</v>
      </c>
      <c r="H64" s="30" t="s">
        <v>519</v>
      </c>
      <c r="I64" s="30" t="s">
        <v>240</v>
      </c>
      <c r="J64" s="30" t="s">
        <v>387</v>
      </c>
      <c r="K64" s="30" t="s">
        <v>387</v>
      </c>
      <c r="L64" s="30">
        <v>100</v>
      </c>
      <c r="M64" s="30">
        <v>1700</v>
      </c>
      <c r="N64" s="31">
        <v>1.2195121951219513E-2</v>
      </c>
      <c r="O64" s="32">
        <f>(L64/100)*M64*N64*(20*AE64)</f>
        <v>3731.707317073171</v>
      </c>
      <c r="P64" s="33">
        <v>1585104</v>
      </c>
      <c r="Q64" s="33">
        <v>300000</v>
      </c>
      <c r="R64" s="33">
        <f>IFERROR(P64*(L64/100),"-")</f>
        <v>1585104</v>
      </c>
      <c r="S64" s="33">
        <f>IFERROR(Q64*(L64/100),"-")</f>
        <v>300000</v>
      </c>
      <c r="T64" s="32">
        <f>IFERROR((R64+S64)/(86*12),"-")</f>
        <v>1826.6511627906978</v>
      </c>
      <c r="U64" s="32">
        <f>O64-T64</f>
        <v>1905.0561542824732</v>
      </c>
      <c r="V64" s="34">
        <f>U64/O64</f>
        <v>0.5105052439580483</v>
      </c>
      <c r="W64" s="30" t="s">
        <v>400</v>
      </c>
      <c r="X64" s="30" t="s">
        <v>27</v>
      </c>
      <c r="Y64" s="30" t="s">
        <v>396</v>
      </c>
      <c r="Z64" s="30" t="s">
        <v>389</v>
      </c>
      <c r="AA64" s="30" t="s">
        <v>390</v>
      </c>
      <c r="AB64" s="30" t="s">
        <v>391</v>
      </c>
      <c r="AC64" s="30" t="s">
        <v>392</v>
      </c>
      <c r="AD64" s="30" t="s">
        <v>393</v>
      </c>
      <c r="AE64" s="30">
        <v>9</v>
      </c>
      <c r="AF64" s="30" t="s">
        <v>394</v>
      </c>
    </row>
    <row r="65" spans="1:32" hidden="1" x14ac:dyDescent="0.35">
      <c r="A65" s="30">
        <v>1011187</v>
      </c>
      <c r="B65" s="30" t="s">
        <v>471</v>
      </c>
      <c r="C65" s="30" t="s">
        <v>12</v>
      </c>
      <c r="D65" s="30" t="s">
        <v>513</v>
      </c>
      <c r="E65" s="30" t="s">
        <v>529</v>
      </c>
      <c r="F65" s="30" t="s">
        <v>396</v>
      </c>
      <c r="G65" s="30" t="s">
        <v>392</v>
      </c>
      <c r="H65" s="30" t="s">
        <v>393</v>
      </c>
      <c r="I65" s="30" t="s">
        <v>77</v>
      </c>
      <c r="J65" s="30" t="s">
        <v>387</v>
      </c>
      <c r="K65" s="30" t="s">
        <v>387</v>
      </c>
      <c r="L65" s="30">
        <v>100</v>
      </c>
      <c r="M65" s="30">
        <v>1800</v>
      </c>
      <c r="N65" s="31">
        <v>1.2195121951219513E-2</v>
      </c>
      <c r="O65" s="32">
        <f>(L65/100)*M65*N65*(20*AE65)</f>
        <v>3951.2195121951222</v>
      </c>
      <c r="P65" s="33">
        <v>1650000</v>
      </c>
      <c r="Q65" s="33">
        <v>300000</v>
      </c>
      <c r="R65" s="33">
        <f>IFERROR(P65*(L65/100),"-")</f>
        <v>1650000</v>
      </c>
      <c r="S65" s="33">
        <f>IFERROR(Q65*(L65/100),"-")</f>
        <v>300000</v>
      </c>
      <c r="T65" s="32">
        <f>IFERROR((R65+S65)/(86*12),"-")</f>
        <v>1889.5348837209303</v>
      </c>
      <c r="U65" s="32">
        <f>O65-T65</f>
        <v>2061.6846284741919</v>
      </c>
      <c r="V65" s="34">
        <f>U65/O65</f>
        <v>0.5217843812805053</v>
      </c>
      <c r="W65" s="30" t="s">
        <v>400</v>
      </c>
      <c r="X65" s="30" t="s">
        <v>27</v>
      </c>
      <c r="Y65" s="30" t="s">
        <v>396</v>
      </c>
      <c r="Z65" s="30" t="s">
        <v>389</v>
      </c>
      <c r="AA65" s="30" t="s">
        <v>390</v>
      </c>
      <c r="AB65" s="30" t="s">
        <v>391</v>
      </c>
      <c r="AC65" s="30" t="s">
        <v>392</v>
      </c>
      <c r="AD65" s="30" t="s">
        <v>393</v>
      </c>
      <c r="AE65" s="30">
        <v>9</v>
      </c>
      <c r="AF65" s="30" t="s">
        <v>394</v>
      </c>
    </row>
    <row r="66" spans="1:32" hidden="1" x14ac:dyDescent="0.35">
      <c r="A66" s="30">
        <v>1008048</v>
      </c>
      <c r="B66" s="30" t="s">
        <v>39</v>
      </c>
      <c r="C66" s="30" t="s">
        <v>12</v>
      </c>
      <c r="D66" s="30" t="s">
        <v>513</v>
      </c>
      <c r="E66" s="30" t="s">
        <v>527</v>
      </c>
      <c r="F66" s="30" t="s">
        <v>396</v>
      </c>
      <c r="G66" s="30" t="s">
        <v>392</v>
      </c>
      <c r="H66" s="30" t="s">
        <v>393</v>
      </c>
      <c r="I66" s="30" t="s">
        <v>20</v>
      </c>
      <c r="J66" s="30" t="s">
        <v>387</v>
      </c>
      <c r="K66" s="30" t="s">
        <v>387</v>
      </c>
      <c r="L66" s="30">
        <v>100</v>
      </c>
      <c r="M66" s="30">
        <v>1400</v>
      </c>
      <c r="N66" s="31">
        <v>1.2195121951219513E-2</v>
      </c>
      <c r="O66" s="32">
        <f>(L66/100)*M66*N66*(20*AE66)</f>
        <v>3073.1707317073174</v>
      </c>
      <c r="P66" s="33">
        <v>1675908</v>
      </c>
      <c r="Q66" s="33">
        <v>300000</v>
      </c>
      <c r="R66" s="33">
        <f>IFERROR(P66*(L66/100),"-")</f>
        <v>1675908</v>
      </c>
      <c r="S66" s="33">
        <f>IFERROR(Q66*(L66/100),"-")</f>
        <v>300000</v>
      </c>
      <c r="T66" s="32">
        <f>IFERROR((R66+S66)/(86*12),"-")</f>
        <v>1914.6395348837209</v>
      </c>
      <c r="U66" s="32">
        <f>O66-T66</f>
        <v>1158.5311968235965</v>
      </c>
      <c r="V66" s="34">
        <f>U66/O66</f>
        <v>0.37698237356958292</v>
      </c>
      <c r="W66" s="30" t="s">
        <v>400</v>
      </c>
      <c r="X66" s="30" t="s">
        <v>27</v>
      </c>
      <c r="Y66" s="30" t="s">
        <v>396</v>
      </c>
      <c r="Z66" s="30" t="s">
        <v>389</v>
      </c>
      <c r="AA66" s="30" t="s">
        <v>390</v>
      </c>
      <c r="AB66" s="30" t="s">
        <v>391</v>
      </c>
      <c r="AC66" s="30" t="s">
        <v>392</v>
      </c>
      <c r="AD66" s="30" t="s">
        <v>393</v>
      </c>
      <c r="AE66" s="30">
        <v>9</v>
      </c>
      <c r="AF66" s="30" t="s">
        <v>394</v>
      </c>
    </row>
    <row r="67" spans="1:32" hidden="1" x14ac:dyDescent="0.35">
      <c r="A67" s="30">
        <v>1014345</v>
      </c>
      <c r="B67" s="30" t="s">
        <v>474</v>
      </c>
      <c r="C67" s="30" t="s">
        <v>12</v>
      </c>
      <c r="D67" s="30" t="s">
        <v>513</v>
      </c>
      <c r="E67" s="30" t="s">
        <v>527</v>
      </c>
      <c r="F67" s="30" t="s">
        <v>396</v>
      </c>
      <c r="G67" s="30" t="s">
        <v>392</v>
      </c>
      <c r="H67" s="30" t="s">
        <v>393</v>
      </c>
      <c r="I67" s="30" t="s">
        <v>20</v>
      </c>
      <c r="J67" s="30" t="s">
        <v>387</v>
      </c>
      <c r="K67" s="30" t="s">
        <v>387</v>
      </c>
      <c r="L67" s="30">
        <v>100</v>
      </c>
      <c r="M67" s="30">
        <v>1400</v>
      </c>
      <c r="N67" s="31">
        <v>1.2195121951219513E-2</v>
      </c>
      <c r="O67" s="32">
        <f>(L67/100)*M67*N67*(20*AE67)</f>
        <v>3073.1707317073174</v>
      </c>
      <c r="P67" s="33">
        <v>1690300</v>
      </c>
      <c r="Q67" s="33">
        <v>300000</v>
      </c>
      <c r="R67" s="33">
        <f>IFERROR(P67*(L67/100),"-")</f>
        <v>1690300</v>
      </c>
      <c r="S67" s="33">
        <f>IFERROR(Q67*(L67/100),"-")</f>
        <v>300000</v>
      </c>
      <c r="T67" s="32">
        <f>IFERROR((R67+S67)/(86*12),"-")</f>
        <v>1928.5852713178294</v>
      </c>
      <c r="U67" s="32">
        <f>O67-T67</f>
        <v>1144.5854603894879</v>
      </c>
      <c r="V67" s="34">
        <f>U67/O67</f>
        <v>0.37244447520610319</v>
      </c>
      <c r="W67" s="30" t="s">
        <v>400</v>
      </c>
      <c r="X67" s="30" t="s">
        <v>27</v>
      </c>
      <c r="Y67" s="30" t="s">
        <v>396</v>
      </c>
      <c r="Z67" s="30" t="s">
        <v>389</v>
      </c>
      <c r="AA67" s="30" t="s">
        <v>390</v>
      </c>
      <c r="AB67" s="30" t="s">
        <v>391</v>
      </c>
      <c r="AC67" s="30" t="s">
        <v>392</v>
      </c>
      <c r="AD67" s="30" t="s">
        <v>393</v>
      </c>
      <c r="AE67" s="30">
        <v>9</v>
      </c>
      <c r="AF67" s="30" t="s">
        <v>394</v>
      </c>
    </row>
    <row r="68" spans="1:32" hidden="1" x14ac:dyDescent="0.35">
      <c r="A68" s="30">
        <v>1100729</v>
      </c>
      <c r="B68" s="30" t="s">
        <v>250</v>
      </c>
      <c r="C68" s="30" t="s">
        <v>12</v>
      </c>
      <c r="D68" s="30" t="s">
        <v>513</v>
      </c>
      <c r="E68" s="30" t="s">
        <v>516</v>
      </c>
      <c r="F68" s="30" t="s">
        <v>396</v>
      </c>
      <c r="G68" s="30" t="s">
        <v>511</v>
      </c>
      <c r="H68" s="30" t="s">
        <v>521</v>
      </c>
      <c r="I68" s="30" t="s">
        <v>417</v>
      </c>
      <c r="J68" s="30" t="s">
        <v>387</v>
      </c>
      <c r="K68" s="30" t="s">
        <v>387</v>
      </c>
      <c r="L68" s="30">
        <v>100</v>
      </c>
      <c r="M68" s="30">
        <v>1700</v>
      </c>
      <c r="N68" s="31">
        <v>1.2195121951219513E-2</v>
      </c>
      <c r="O68" s="32">
        <f>(L68/100)*M68*N68*(20*AE68)</f>
        <v>3731.707317073171</v>
      </c>
      <c r="P68" s="33">
        <v>1700004</v>
      </c>
      <c r="Q68" s="33">
        <v>300000</v>
      </c>
      <c r="R68" s="33">
        <f>IFERROR(P68*(L68/100),"-")</f>
        <v>1700004</v>
      </c>
      <c r="S68" s="33">
        <f>IFERROR(Q68*(L68/100),"-")</f>
        <v>300000</v>
      </c>
      <c r="T68" s="32">
        <f>IFERROR((R68+S68)/(86*12),"-")</f>
        <v>1937.9883720930231</v>
      </c>
      <c r="U68" s="32">
        <f>O68-T68</f>
        <v>1793.7189449801479</v>
      </c>
      <c r="V68" s="34">
        <f>U68/O68</f>
        <v>0.48066978264173893</v>
      </c>
      <c r="W68" s="30" t="s">
        <v>400</v>
      </c>
      <c r="X68" s="30" t="s">
        <v>27</v>
      </c>
      <c r="Y68" s="30" t="s">
        <v>396</v>
      </c>
      <c r="Z68" s="30" t="s">
        <v>389</v>
      </c>
      <c r="AA68" s="30" t="s">
        <v>390</v>
      </c>
      <c r="AB68" s="30" t="s">
        <v>391</v>
      </c>
      <c r="AC68" s="30" t="s">
        <v>392</v>
      </c>
      <c r="AD68" s="30" t="s">
        <v>393</v>
      </c>
      <c r="AE68" s="30">
        <v>9</v>
      </c>
      <c r="AF68" s="30" t="s">
        <v>394</v>
      </c>
    </row>
    <row r="69" spans="1:32" hidden="1" x14ac:dyDescent="0.35">
      <c r="A69" s="30">
        <v>1101262</v>
      </c>
      <c r="B69" s="30" t="s">
        <v>476</v>
      </c>
      <c r="C69" s="30" t="s">
        <v>12</v>
      </c>
      <c r="D69" s="30" t="s">
        <v>513</v>
      </c>
      <c r="E69" s="30" t="s">
        <v>516</v>
      </c>
      <c r="F69" s="30" t="s">
        <v>396</v>
      </c>
      <c r="G69" s="30" t="s">
        <v>392</v>
      </c>
      <c r="H69" s="30" t="s">
        <v>393</v>
      </c>
      <c r="I69" s="30" t="s">
        <v>77</v>
      </c>
      <c r="J69" s="30" t="s">
        <v>387</v>
      </c>
      <c r="K69" s="30" t="s">
        <v>387</v>
      </c>
      <c r="L69" s="30">
        <v>100</v>
      </c>
      <c r="M69" s="30">
        <v>1700</v>
      </c>
      <c r="N69" s="31">
        <v>1.2195121951219513E-2</v>
      </c>
      <c r="O69" s="32">
        <f>(L69/100)*M69*N69*(20*AE69)</f>
        <v>3731.707317073171</v>
      </c>
      <c r="P69" s="33">
        <v>1700004</v>
      </c>
      <c r="Q69" s="33">
        <v>300000</v>
      </c>
      <c r="R69" s="33">
        <f>IFERROR(P69*(L69/100),"-")</f>
        <v>1700004</v>
      </c>
      <c r="S69" s="33">
        <f>IFERROR(Q69*(L69/100),"-")</f>
        <v>300000</v>
      </c>
      <c r="T69" s="32">
        <f>IFERROR((R69+S69)/(86*12),"-")</f>
        <v>1937.9883720930231</v>
      </c>
      <c r="U69" s="32">
        <f>O69-T69</f>
        <v>1793.7189449801479</v>
      </c>
      <c r="V69" s="34">
        <f>U69/O69</f>
        <v>0.48066978264173893</v>
      </c>
      <c r="W69" s="30" t="s">
        <v>400</v>
      </c>
      <c r="X69" s="30" t="s">
        <v>27</v>
      </c>
      <c r="Y69" s="30" t="s">
        <v>396</v>
      </c>
      <c r="Z69" s="30" t="s">
        <v>389</v>
      </c>
      <c r="AA69" s="30" t="s">
        <v>390</v>
      </c>
      <c r="AB69" s="30" t="s">
        <v>391</v>
      </c>
      <c r="AC69" s="30" t="s">
        <v>392</v>
      </c>
      <c r="AD69" s="30" t="s">
        <v>393</v>
      </c>
      <c r="AE69" s="30">
        <v>9</v>
      </c>
      <c r="AF69" s="30" t="s">
        <v>394</v>
      </c>
    </row>
    <row r="70" spans="1:32" hidden="1" x14ac:dyDescent="0.35">
      <c r="A70" s="30">
        <v>1101517</v>
      </c>
      <c r="B70" s="30" t="s">
        <v>286</v>
      </c>
      <c r="C70" s="30" t="s">
        <v>12</v>
      </c>
      <c r="D70" s="30" t="s">
        <v>513</v>
      </c>
      <c r="E70" s="30" t="s">
        <v>516</v>
      </c>
      <c r="F70" s="30" t="s">
        <v>396</v>
      </c>
      <c r="G70" s="30" t="s">
        <v>511</v>
      </c>
      <c r="H70" s="30" t="s">
        <v>522</v>
      </c>
      <c r="I70" s="30" t="s">
        <v>418</v>
      </c>
      <c r="J70" s="30" t="s">
        <v>387</v>
      </c>
      <c r="K70" s="30" t="s">
        <v>387</v>
      </c>
      <c r="L70" s="30">
        <v>100</v>
      </c>
      <c r="M70" s="30">
        <v>1700</v>
      </c>
      <c r="N70" s="31">
        <v>1.2195121951219513E-2</v>
      </c>
      <c r="O70" s="32">
        <f>(L70/100)*M70*N70*(20*AE70)</f>
        <v>3731.707317073171</v>
      </c>
      <c r="P70" s="33">
        <v>1800000</v>
      </c>
      <c r="Q70" s="33">
        <v>300000</v>
      </c>
      <c r="R70" s="33">
        <f>IFERROR(P70*(L70/100),"-")</f>
        <v>1800000</v>
      </c>
      <c r="S70" s="33">
        <f>IFERROR(Q70*(L70/100),"-")</f>
        <v>300000</v>
      </c>
      <c r="T70" s="32">
        <f>IFERROR((R70+S70)/(86*12),"-")</f>
        <v>2034.8837209302326</v>
      </c>
      <c r="U70" s="32">
        <f>O70-T70</f>
        <v>1696.8235961429384</v>
      </c>
      <c r="V70" s="34">
        <f>U70/O70</f>
        <v>0.45470436236510109</v>
      </c>
      <c r="W70" s="30" t="s">
        <v>400</v>
      </c>
      <c r="X70" s="30" t="s">
        <v>27</v>
      </c>
      <c r="Y70" s="30" t="s">
        <v>396</v>
      </c>
      <c r="Z70" s="30" t="s">
        <v>389</v>
      </c>
      <c r="AA70" s="30" t="s">
        <v>390</v>
      </c>
      <c r="AB70" s="30" t="s">
        <v>391</v>
      </c>
      <c r="AC70" s="30" t="s">
        <v>392</v>
      </c>
      <c r="AD70" s="30" t="s">
        <v>393</v>
      </c>
      <c r="AE70" s="30">
        <v>9</v>
      </c>
      <c r="AF70" s="30" t="s">
        <v>394</v>
      </c>
    </row>
    <row r="71" spans="1:32" hidden="1" x14ac:dyDescent="0.35">
      <c r="A71" s="30">
        <v>1101599</v>
      </c>
      <c r="B71" s="30" t="s">
        <v>295</v>
      </c>
      <c r="C71" s="30" t="s">
        <v>12</v>
      </c>
      <c r="D71" s="30" t="s">
        <v>513</v>
      </c>
      <c r="E71" s="30" t="s">
        <v>516</v>
      </c>
      <c r="F71" s="30" t="s">
        <v>396</v>
      </c>
      <c r="G71" s="30" t="s">
        <v>392</v>
      </c>
      <c r="H71" s="30" t="s">
        <v>393</v>
      </c>
      <c r="I71" s="30" t="s">
        <v>77</v>
      </c>
      <c r="J71" s="30" t="s">
        <v>387</v>
      </c>
      <c r="K71" s="30" t="s">
        <v>387</v>
      </c>
      <c r="L71" s="30">
        <v>100</v>
      </c>
      <c r="M71" s="30">
        <v>1700</v>
      </c>
      <c r="N71" s="31">
        <v>1.2195121951219513E-2</v>
      </c>
      <c r="O71" s="32">
        <f>(L71/100)*M71*N71*(20*AE71)</f>
        <v>3731.707317073171</v>
      </c>
      <c r="P71" s="33">
        <v>1800000</v>
      </c>
      <c r="Q71" s="33">
        <v>300000</v>
      </c>
      <c r="R71" s="33">
        <f>IFERROR(P71*(L71/100),"-")</f>
        <v>1800000</v>
      </c>
      <c r="S71" s="33">
        <f>IFERROR(Q71*(L71/100),"-")</f>
        <v>300000</v>
      </c>
      <c r="T71" s="32">
        <f>IFERROR((R71+S71)/(86*12),"-")</f>
        <v>2034.8837209302326</v>
      </c>
      <c r="U71" s="32">
        <f>O71-T71</f>
        <v>1696.8235961429384</v>
      </c>
      <c r="V71" s="34">
        <f>U71/O71</f>
        <v>0.45470436236510109</v>
      </c>
      <c r="W71" s="30" t="s">
        <v>400</v>
      </c>
      <c r="X71" s="30" t="s">
        <v>27</v>
      </c>
      <c r="Y71" s="30" t="s">
        <v>396</v>
      </c>
      <c r="Z71" s="30" t="s">
        <v>389</v>
      </c>
      <c r="AA71" s="30" t="s">
        <v>390</v>
      </c>
      <c r="AB71" s="30" t="s">
        <v>391</v>
      </c>
      <c r="AC71" s="30" t="s">
        <v>392</v>
      </c>
      <c r="AD71" s="30" t="s">
        <v>393</v>
      </c>
      <c r="AE71" s="30">
        <v>9</v>
      </c>
      <c r="AF71" s="30" t="s">
        <v>394</v>
      </c>
    </row>
    <row r="72" spans="1:32" hidden="1" x14ac:dyDescent="0.35">
      <c r="A72" s="30">
        <v>1102100</v>
      </c>
      <c r="B72" s="30" t="s">
        <v>330</v>
      </c>
      <c r="C72" s="30" t="s">
        <v>12</v>
      </c>
      <c r="D72" s="30" t="s">
        <v>513</v>
      </c>
      <c r="E72" s="30" t="s">
        <v>516</v>
      </c>
      <c r="F72" s="30" t="s">
        <v>396</v>
      </c>
      <c r="G72" s="30" t="s">
        <v>392</v>
      </c>
      <c r="H72" s="30" t="s">
        <v>393</v>
      </c>
      <c r="I72" s="30" t="s">
        <v>77</v>
      </c>
      <c r="J72" s="30" t="s">
        <v>387</v>
      </c>
      <c r="K72" s="30" t="s">
        <v>387</v>
      </c>
      <c r="L72" s="30">
        <v>100</v>
      </c>
      <c r="M72" s="30">
        <v>1700</v>
      </c>
      <c r="N72" s="31">
        <v>1.2195121951219513E-2</v>
      </c>
      <c r="O72" s="32">
        <f>(L72/100)*M72*N72*(20*AE72)</f>
        <v>3731.707317073171</v>
      </c>
      <c r="P72" s="33">
        <v>1900008</v>
      </c>
      <c r="Q72" s="33">
        <v>300000</v>
      </c>
      <c r="R72" s="33">
        <f>IFERROR(P72*(L72/100),"-")</f>
        <v>1900008</v>
      </c>
      <c r="S72" s="33">
        <f>IFERROR(Q72*(L72/100),"-")</f>
        <v>300000</v>
      </c>
      <c r="T72" s="32">
        <f>IFERROR((R72+S72)/(86*12),"-")</f>
        <v>2131.7906976744184</v>
      </c>
      <c r="U72" s="32">
        <f>O72-T72</f>
        <v>1599.9166193987526</v>
      </c>
      <c r="V72" s="34">
        <f>U72/O72</f>
        <v>0.42873582611339117</v>
      </c>
      <c r="W72" s="30" t="s">
        <v>400</v>
      </c>
      <c r="X72" s="30" t="s">
        <v>27</v>
      </c>
      <c r="Y72" s="30" t="s">
        <v>396</v>
      </c>
      <c r="Z72" s="30" t="s">
        <v>389</v>
      </c>
      <c r="AA72" s="30" t="s">
        <v>390</v>
      </c>
      <c r="AB72" s="30" t="s">
        <v>391</v>
      </c>
      <c r="AC72" s="30" t="s">
        <v>392</v>
      </c>
      <c r="AD72" s="30" t="s">
        <v>393</v>
      </c>
      <c r="AE72" s="30">
        <v>9</v>
      </c>
      <c r="AF72" s="30" t="s">
        <v>394</v>
      </c>
    </row>
    <row r="73" spans="1:32" hidden="1" x14ac:dyDescent="0.35">
      <c r="A73" s="30">
        <v>1101374</v>
      </c>
      <c r="B73" s="30" t="s">
        <v>281</v>
      </c>
      <c r="C73" s="30" t="s">
        <v>12</v>
      </c>
      <c r="D73" s="30" t="s">
        <v>513</v>
      </c>
      <c r="E73" s="30" t="s">
        <v>516</v>
      </c>
      <c r="F73" s="30" t="s">
        <v>396</v>
      </c>
      <c r="G73" s="30" t="s">
        <v>511</v>
      </c>
      <c r="H73" s="30" t="s">
        <v>522</v>
      </c>
      <c r="I73" s="30" t="s">
        <v>418</v>
      </c>
      <c r="J73" s="30" t="s">
        <v>387</v>
      </c>
      <c r="K73" s="30" t="s">
        <v>387</v>
      </c>
      <c r="L73" s="30">
        <v>100</v>
      </c>
      <c r="M73" s="30">
        <v>1800</v>
      </c>
      <c r="N73" s="31">
        <v>1.2195121951219513E-2</v>
      </c>
      <c r="O73" s="32">
        <f>(L73/100)*M73*N73*(20*AE73)</f>
        <v>3951.2195121951222</v>
      </c>
      <c r="P73" s="33">
        <v>2000004</v>
      </c>
      <c r="Q73" s="33">
        <v>300000</v>
      </c>
      <c r="R73" s="33">
        <f>IFERROR(P73*(L73/100),"-")</f>
        <v>2000004</v>
      </c>
      <c r="S73" s="33">
        <f>IFERROR(Q73*(L73/100),"-")</f>
        <v>300000</v>
      </c>
      <c r="T73" s="32">
        <f>IFERROR((R73+S73)/(86*12),"-")</f>
        <v>2228.6860465116279</v>
      </c>
      <c r="U73" s="32">
        <f>O73-T73</f>
        <v>1722.5334656834943</v>
      </c>
      <c r="V73" s="34">
        <f>U73/O73</f>
        <v>0.43594982773471153</v>
      </c>
      <c r="W73" s="30" t="s">
        <v>400</v>
      </c>
      <c r="X73" s="30" t="s">
        <v>27</v>
      </c>
      <c r="Y73" s="30" t="s">
        <v>396</v>
      </c>
      <c r="Z73" s="30" t="s">
        <v>389</v>
      </c>
      <c r="AA73" s="30" t="s">
        <v>390</v>
      </c>
      <c r="AB73" s="30" t="s">
        <v>391</v>
      </c>
      <c r="AC73" s="30" t="s">
        <v>392</v>
      </c>
      <c r="AD73" s="30" t="s">
        <v>393</v>
      </c>
      <c r="AE73" s="30">
        <v>9</v>
      </c>
      <c r="AF73" s="30" t="s">
        <v>394</v>
      </c>
    </row>
    <row r="74" spans="1:32" hidden="1" x14ac:dyDescent="0.35">
      <c r="A74" s="30">
        <v>1009947</v>
      </c>
      <c r="B74" s="30" t="s">
        <v>110</v>
      </c>
      <c r="C74" s="30" t="s">
        <v>12</v>
      </c>
      <c r="D74" s="30" t="s">
        <v>513</v>
      </c>
      <c r="E74" s="30" t="s">
        <v>516</v>
      </c>
      <c r="F74" s="30" t="s">
        <v>396</v>
      </c>
      <c r="G74" s="30" t="s">
        <v>392</v>
      </c>
      <c r="H74" s="30" t="s">
        <v>393</v>
      </c>
      <c r="I74" s="30" t="s">
        <v>77</v>
      </c>
      <c r="J74" s="30" t="s">
        <v>387</v>
      </c>
      <c r="K74" s="30" t="s">
        <v>387</v>
      </c>
      <c r="L74" s="30">
        <v>100</v>
      </c>
      <c r="M74" s="30">
        <v>2100</v>
      </c>
      <c r="N74" s="31">
        <v>1.2195121951219513E-2</v>
      </c>
      <c r="O74" s="32">
        <f>(L74/100)*M74*N74*(20*AE74)</f>
        <v>4609.7560975609758</v>
      </c>
      <c r="P74" s="33">
        <v>2038404</v>
      </c>
      <c r="Q74" s="33">
        <v>300000</v>
      </c>
      <c r="R74" s="33">
        <f>IFERROR(P74*(L74/100),"-")</f>
        <v>2038404</v>
      </c>
      <c r="S74" s="33">
        <f>IFERROR(Q74*(L74/100),"-")</f>
        <v>300000</v>
      </c>
      <c r="T74" s="32">
        <f>IFERROR((R74+S74)/(86*12),"-")</f>
        <v>2265.8953488372094</v>
      </c>
      <c r="U74" s="32">
        <f>O74-T74</f>
        <v>2343.8607487237664</v>
      </c>
      <c r="V74" s="34">
        <f>U74/O74</f>
        <v>0.50845656453795984</v>
      </c>
      <c r="W74" s="30" t="s">
        <v>400</v>
      </c>
      <c r="X74" s="30" t="s">
        <v>27</v>
      </c>
      <c r="Y74" s="30" t="s">
        <v>396</v>
      </c>
      <c r="Z74" s="30" t="s">
        <v>389</v>
      </c>
      <c r="AA74" s="30" t="s">
        <v>390</v>
      </c>
      <c r="AB74" s="30" t="s">
        <v>391</v>
      </c>
      <c r="AC74" s="30" t="s">
        <v>392</v>
      </c>
      <c r="AD74" s="30" t="s">
        <v>393</v>
      </c>
      <c r="AE74" s="30">
        <v>9</v>
      </c>
      <c r="AF74" s="30" t="s">
        <v>394</v>
      </c>
    </row>
    <row r="75" spans="1:32" hidden="1" x14ac:dyDescent="0.35">
      <c r="A75" s="30">
        <v>1017492</v>
      </c>
      <c r="B75" s="30" t="s">
        <v>490</v>
      </c>
      <c r="C75" s="30" t="s">
        <v>12</v>
      </c>
      <c r="D75" s="30" t="s">
        <v>513</v>
      </c>
      <c r="E75" s="30" t="s">
        <v>516</v>
      </c>
      <c r="F75" s="30" t="s">
        <v>396</v>
      </c>
      <c r="G75" s="30" t="s">
        <v>511</v>
      </c>
      <c r="H75" s="30" t="s">
        <v>534</v>
      </c>
      <c r="I75" s="30" t="s">
        <v>491</v>
      </c>
      <c r="J75" s="30" t="s">
        <v>387</v>
      </c>
      <c r="K75" s="30" t="s">
        <v>387</v>
      </c>
      <c r="L75" s="30">
        <v>100</v>
      </c>
      <c r="M75" s="30">
        <v>1800</v>
      </c>
      <c r="N75" s="31">
        <v>1.2195121951219513E-2</v>
      </c>
      <c r="O75" s="32">
        <f>(L75/100)*M75*N75*(20*AE75)</f>
        <v>3951.2195121951222</v>
      </c>
      <c r="P75" s="33">
        <v>2075004</v>
      </c>
      <c r="Q75" s="33">
        <v>300000</v>
      </c>
      <c r="R75" s="33">
        <f>IFERROR(P75*(L75/100),"-")</f>
        <v>2075004</v>
      </c>
      <c r="S75" s="33">
        <f>IFERROR(Q75*(L75/100),"-")</f>
        <v>300000</v>
      </c>
      <c r="T75" s="32">
        <f>IFERROR((R75+S75)/(86*12),"-")</f>
        <v>2301.3604651162791</v>
      </c>
      <c r="U75" s="32">
        <f>O75-T75</f>
        <v>1649.8590470788431</v>
      </c>
      <c r="V75" s="34">
        <f>U75/O75</f>
        <v>0.41755691932242323</v>
      </c>
      <c r="W75" s="30" t="s">
        <v>400</v>
      </c>
      <c r="X75" s="30" t="s">
        <v>27</v>
      </c>
      <c r="Y75" s="30" t="s">
        <v>396</v>
      </c>
      <c r="Z75" s="30" t="s">
        <v>389</v>
      </c>
      <c r="AA75" s="30" t="s">
        <v>390</v>
      </c>
      <c r="AB75" s="30" t="s">
        <v>391</v>
      </c>
      <c r="AC75" s="30" t="s">
        <v>392</v>
      </c>
      <c r="AD75" s="30" t="s">
        <v>393</v>
      </c>
      <c r="AE75" s="30">
        <v>9</v>
      </c>
      <c r="AF75" s="30" t="s">
        <v>394</v>
      </c>
    </row>
    <row r="76" spans="1:32" hidden="1" x14ac:dyDescent="0.35">
      <c r="A76" s="30">
        <v>1009912</v>
      </c>
      <c r="B76" s="30" t="s">
        <v>58</v>
      </c>
      <c r="C76" s="30" t="s">
        <v>12</v>
      </c>
      <c r="D76" s="30" t="s">
        <v>513</v>
      </c>
      <c r="E76" s="30" t="s">
        <v>532</v>
      </c>
      <c r="F76" s="30" t="s">
        <v>396</v>
      </c>
      <c r="G76" s="30" t="s">
        <v>392</v>
      </c>
      <c r="H76" s="30" t="s">
        <v>393</v>
      </c>
      <c r="I76" s="30" t="s">
        <v>77</v>
      </c>
      <c r="J76" s="30" t="s">
        <v>387</v>
      </c>
      <c r="K76" s="30" t="s">
        <v>387</v>
      </c>
      <c r="L76" s="30">
        <v>100</v>
      </c>
      <c r="M76" s="30">
        <v>1800</v>
      </c>
      <c r="N76" s="31">
        <v>1.2195121951219513E-2</v>
      </c>
      <c r="O76" s="32">
        <f>(L76/100)*M76*N76*(20*AE76)</f>
        <v>3951.2195121951222</v>
      </c>
      <c r="P76" s="33">
        <v>2180108</v>
      </c>
      <c r="Q76" s="33">
        <v>300000</v>
      </c>
      <c r="R76" s="33">
        <f>IFERROR(P76*(L76/100),"-")</f>
        <v>2180108</v>
      </c>
      <c r="S76" s="33">
        <f>IFERROR(Q76*(L76/100),"-")</f>
        <v>300000</v>
      </c>
      <c r="T76" s="32">
        <f>IFERROR((R76+S76)/(86*12),"-")</f>
        <v>2403.2054263565892</v>
      </c>
      <c r="U76" s="32">
        <f>O76-T76</f>
        <v>1548.014085838533</v>
      </c>
      <c r="V76" s="34">
        <f>U76/O76</f>
        <v>0.39178134271222131</v>
      </c>
      <c r="W76" s="30" t="s">
        <v>400</v>
      </c>
      <c r="X76" s="30" t="s">
        <v>27</v>
      </c>
      <c r="Y76" s="30" t="s">
        <v>396</v>
      </c>
      <c r="Z76" s="30" t="s">
        <v>389</v>
      </c>
      <c r="AA76" s="30" t="s">
        <v>390</v>
      </c>
      <c r="AB76" s="30" t="s">
        <v>391</v>
      </c>
      <c r="AC76" s="30" t="s">
        <v>392</v>
      </c>
      <c r="AD76" s="30" t="s">
        <v>393</v>
      </c>
      <c r="AE76" s="30">
        <v>9</v>
      </c>
      <c r="AF76" s="30" t="s">
        <v>394</v>
      </c>
    </row>
    <row r="77" spans="1:32" hidden="1" x14ac:dyDescent="0.35">
      <c r="A77" s="30">
        <v>1010016</v>
      </c>
      <c r="B77" s="30" t="s">
        <v>64</v>
      </c>
      <c r="C77" s="30" t="s">
        <v>12</v>
      </c>
      <c r="D77" s="30" t="s">
        <v>513</v>
      </c>
      <c r="E77" s="30" t="s">
        <v>529</v>
      </c>
      <c r="F77" s="30" t="s">
        <v>396</v>
      </c>
      <c r="G77" s="30" t="s">
        <v>392</v>
      </c>
      <c r="H77" s="30" t="s">
        <v>393</v>
      </c>
      <c r="I77" s="30" t="s">
        <v>77</v>
      </c>
      <c r="J77" s="30" t="s">
        <v>387</v>
      </c>
      <c r="K77" s="30" t="s">
        <v>387</v>
      </c>
      <c r="L77" s="30">
        <v>100</v>
      </c>
      <c r="M77" s="30">
        <v>2100</v>
      </c>
      <c r="N77" s="31">
        <v>1.2195121951219513E-2</v>
      </c>
      <c r="O77" s="32">
        <f>(L77/100)*M77*N77*(20*AE77)</f>
        <v>4609.7560975609758</v>
      </c>
      <c r="P77" s="33">
        <v>2194308</v>
      </c>
      <c r="Q77" s="33">
        <v>300000</v>
      </c>
      <c r="R77" s="33">
        <f>IFERROR(P77*(L77/100),"-")</f>
        <v>2194308</v>
      </c>
      <c r="S77" s="33">
        <f>IFERROR(Q77*(L77/100),"-")</f>
        <v>300000</v>
      </c>
      <c r="T77" s="32">
        <f>IFERROR((R77+S77)/(86*12),"-")</f>
        <v>2416.9651162790697</v>
      </c>
      <c r="U77" s="32">
        <f>O77-T77</f>
        <v>2192.7909812819062</v>
      </c>
      <c r="V77" s="34">
        <f>U77/O77</f>
        <v>0.47568481604528123</v>
      </c>
      <c r="W77" s="30" t="s">
        <v>400</v>
      </c>
      <c r="X77" s="30" t="s">
        <v>27</v>
      </c>
      <c r="Y77" s="30" t="s">
        <v>396</v>
      </c>
      <c r="Z77" s="30" t="s">
        <v>389</v>
      </c>
      <c r="AA77" s="30" t="s">
        <v>390</v>
      </c>
      <c r="AB77" s="30" t="s">
        <v>391</v>
      </c>
      <c r="AC77" s="30" t="s">
        <v>392</v>
      </c>
      <c r="AD77" s="30" t="s">
        <v>393</v>
      </c>
      <c r="AE77" s="30">
        <v>9</v>
      </c>
      <c r="AF77" s="30" t="s">
        <v>394</v>
      </c>
    </row>
    <row r="78" spans="1:32" hidden="1" x14ac:dyDescent="0.35">
      <c r="A78" s="30">
        <v>1013974</v>
      </c>
      <c r="B78" s="30" t="s">
        <v>494</v>
      </c>
      <c r="C78" s="30" t="s">
        <v>12</v>
      </c>
      <c r="D78" s="30" t="s">
        <v>513</v>
      </c>
      <c r="E78" s="30" t="s">
        <v>530</v>
      </c>
      <c r="F78" s="30" t="s">
        <v>396</v>
      </c>
      <c r="G78" s="30" t="s">
        <v>511</v>
      </c>
      <c r="H78" s="30" t="s">
        <v>521</v>
      </c>
      <c r="I78" s="30" t="s">
        <v>417</v>
      </c>
      <c r="J78" s="30" t="s">
        <v>387</v>
      </c>
      <c r="K78" s="30" t="s">
        <v>387</v>
      </c>
      <c r="L78" s="30">
        <v>100</v>
      </c>
      <c r="M78" s="30">
        <v>2100</v>
      </c>
      <c r="N78" s="31">
        <v>1.2195121951219513E-2</v>
      </c>
      <c r="O78" s="32">
        <f>(L78/100)*M78*N78*(20*AE78)</f>
        <v>4609.7560975609758</v>
      </c>
      <c r="P78" s="33">
        <v>2272000</v>
      </c>
      <c r="Q78" s="33">
        <v>300000</v>
      </c>
      <c r="R78" s="33">
        <f>IFERROR(P78*(L78/100),"-")</f>
        <v>2272000</v>
      </c>
      <c r="S78" s="33">
        <f>IFERROR(Q78*(L78/100),"-")</f>
        <v>300000</v>
      </c>
      <c r="T78" s="32">
        <f>IFERROR((R78+S78)/(86*12),"-")</f>
        <v>2492.2480620155038</v>
      </c>
      <c r="U78" s="32">
        <f>O78-T78</f>
        <v>2117.508035545472</v>
      </c>
      <c r="V78" s="34">
        <f>U78/O78</f>
        <v>0.45935359501250977</v>
      </c>
      <c r="W78" s="30" t="s">
        <v>400</v>
      </c>
      <c r="X78" s="30" t="s">
        <v>27</v>
      </c>
      <c r="Y78" s="30" t="s">
        <v>396</v>
      </c>
      <c r="Z78" s="30" t="s">
        <v>389</v>
      </c>
      <c r="AA78" s="30" t="s">
        <v>390</v>
      </c>
      <c r="AB78" s="30" t="s">
        <v>391</v>
      </c>
      <c r="AC78" s="30" t="s">
        <v>392</v>
      </c>
      <c r="AD78" s="30" t="s">
        <v>393</v>
      </c>
      <c r="AE78" s="30">
        <v>9</v>
      </c>
      <c r="AF78" s="30" t="s">
        <v>394</v>
      </c>
    </row>
    <row r="79" spans="1:32" hidden="1" x14ac:dyDescent="0.35">
      <c r="A79" s="30">
        <v>1014143</v>
      </c>
      <c r="B79" s="30" t="s">
        <v>106</v>
      </c>
      <c r="C79" s="30" t="s">
        <v>99</v>
      </c>
      <c r="D79" s="30" t="s">
        <v>513</v>
      </c>
      <c r="E79" s="30" t="s">
        <v>530</v>
      </c>
      <c r="F79" s="30" t="s">
        <v>396</v>
      </c>
      <c r="G79" s="30" t="s">
        <v>511</v>
      </c>
      <c r="H79" s="30" t="s">
        <v>521</v>
      </c>
      <c r="I79" s="30" t="s">
        <v>417</v>
      </c>
      <c r="J79" s="30" t="s">
        <v>387</v>
      </c>
      <c r="K79" s="30" t="s">
        <v>387</v>
      </c>
      <c r="L79" s="30">
        <v>100</v>
      </c>
      <c r="M79" s="30">
        <v>2100</v>
      </c>
      <c r="N79" s="31">
        <v>1.2195121951219513E-2</v>
      </c>
      <c r="O79" s="32">
        <f>(L79/100)*M79*N79*(20*AE79)</f>
        <v>4609.7560975609758</v>
      </c>
      <c r="P79" s="33">
        <v>2275008</v>
      </c>
      <c r="Q79" s="33">
        <v>300000</v>
      </c>
      <c r="R79" s="33">
        <f>IFERROR(P79*(L79/100),"-")</f>
        <v>2275008</v>
      </c>
      <c r="S79" s="33">
        <f>IFERROR(Q79*(L79/100),"-")</f>
        <v>300000</v>
      </c>
      <c r="T79" s="32">
        <f>IFERROR((R79+S79)/(86*12),"-")</f>
        <v>2495.1627906976746</v>
      </c>
      <c r="U79" s="32">
        <f>O79-T79</f>
        <v>2114.5933068633012</v>
      </c>
      <c r="V79" s="34">
        <f>U79/O79</f>
        <v>0.45872129937246214</v>
      </c>
      <c r="W79" s="30" t="s">
        <v>400</v>
      </c>
      <c r="X79" s="30" t="s">
        <v>27</v>
      </c>
      <c r="Y79" s="30" t="s">
        <v>396</v>
      </c>
      <c r="Z79" s="30" t="s">
        <v>389</v>
      </c>
      <c r="AA79" s="30" t="s">
        <v>390</v>
      </c>
      <c r="AB79" s="30" t="s">
        <v>391</v>
      </c>
      <c r="AC79" s="30" t="s">
        <v>392</v>
      </c>
      <c r="AD79" s="30" t="s">
        <v>393</v>
      </c>
      <c r="AE79" s="30">
        <v>9</v>
      </c>
      <c r="AF79" s="30" t="s">
        <v>394</v>
      </c>
    </row>
    <row r="80" spans="1:32" hidden="1" x14ac:dyDescent="0.35">
      <c r="A80" s="30">
        <v>1003687</v>
      </c>
      <c r="B80" s="30" t="s">
        <v>495</v>
      </c>
      <c r="C80" s="30" t="s">
        <v>12</v>
      </c>
      <c r="D80" s="30" t="s">
        <v>513</v>
      </c>
      <c r="E80" s="30" t="s">
        <v>532</v>
      </c>
      <c r="F80" s="30" t="s">
        <v>396</v>
      </c>
      <c r="G80" s="30" t="s">
        <v>392</v>
      </c>
      <c r="H80" s="30" t="s">
        <v>393</v>
      </c>
      <c r="I80" s="30" t="s">
        <v>77</v>
      </c>
      <c r="J80" s="30" t="s">
        <v>387</v>
      </c>
      <c r="K80" s="30" t="s">
        <v>387</v>
      </c>
      <c r="L80" s="30">
        <v>100</v>
      </c>
      <c r="M80" s="30">
        <v>2000</v>
      </c>
      <c r="N80" s="31">
        <v>1.2195121951219513E-2</v>
      </c>
      <c r="O80" s="32">
        <f>(L80/100)*M80*N80*(20*AE80)</f>
        <v>4390.2439024390242</v>
      </c>
      <c r="P80" s="33">
        <v>2300000</v>
      </c>
      <c r="Q80" s="33">
        <v>300000</v>
      </c>
      <c r="R80" s="33">
        <f>IFERROR(P80*(L80/100),"-")</f>
        <v>2300000</v>
      </c>
      <c r="S80" s="33">
        <f>IFERROR(Q80*(L80/100),"-")</f>
        <v>300000</v>
      </c>
      <c r="T80" s="32">
        <f>IFERROR((R80+S80)/(86*12),"-")</f>
        <v>2519.3798449612405</v>
      </c>
      <c r="U80" s="32">
        <f>O80-T80</f>
        <v>1870.8640574777837</v>
      </c>
      <c r="V80" s="34">
        <f>U80/O80</f>
        <v>0.42614125753660631</v>
      </c>
      <c r="W80" s="30" t="s">
        <v>400</v>
      </c>
      <c r="X80" s="30" t="s">
        <v>27</v>
      </c>
      <c r="Y80" s="30" t="s">
        <v>396</v>
      </c>
      <c r="Z80" s="30" t="s">
        <v>389</v>
      </c>
      <c r="AA80" s="30" t="s">
        <v>390</v>
      </c>
      <c r="AB80" s="30" t="s">
        <v>391</v>
      </c>
      <c r="AC80" s="30" t="s">
        <v>392</v>
      </c>
      <c r="AD80" s="30" t="s">
        <v>393</v>
      </c>
      <c r="AE80" s="30">
        <v>9</v>
      </c>
      <c r="AF80" s="30" t="s">
        <v>394</v>
      </c>
    </row>
    <row r="81" spans="1:32" hidden="1" x14ac:dyDescent="0.35">
      <c r="A81" s="30">
        <v>1010831</v>
      </c>
      <c r="B81" s="30" t="s">
        <v>497</v>
      </c>
      <c r="C81" s="30" t="s">
        <v>12</v>
      </c>
      <c r="D81" s="30" t="s">
        <v>513</v>
      </c>
      <c r="E81" s="30" t="s">
        <v>535</v>
      </c>
      <c r="F81" s="30" t="s">
        <v>396</v>
      </c>
      <c r="G81" s="30" t="s">
        <v>511</v>
      </c>
      <c r="H81" s="30" t="s">
        <v>536</v>
      </c>
      <c r="I81" s="30" t="s">
        <v>498</v>
      </c>
      <c r="J81" s="30" t="s">
        <v>387</v>
      </c>
      <c r="K81" s="30" t="s">
        <v>387</v>
      </c>
      <c r="L81" s="30">
        <v>100</v>
      </c>
      <c r="M81" s="30">
        <v>2000</v>
      </c>
      <c r="N81" s="31">
        <v>1.2195121951219513E-2</v>
      </c>
      <c r="O81" s="32">
        <f>(L81/100)*M81*N81*(20*AE81)</f>
        <v>4390.2439024390242</v>
      </c>
      <c r="P81" s="33">
        <v>2350000</v>
      </c>
      <c r="Q81" s="33">
        <v>300000</v>
      </c>
      <c r="R81" s="33">
        <f>IFERROR(P81*(L81/100),"-")</f>
        <v>2350000</v>
      </c>
      <c r="S81" s="33">
        <f>IFERROR(Q81*(L81/100),"-")</f>
        <v>300000</v>
      </c>
      <c r="T81" s="32">
        <f>IFERROR((R81+S81)/(86*12),"-")</f>
        <v>2567.8294573643411</v>
      </c>
      <c r="U81" s="32">
        <f>O81-T81</f>
        <v>1822.414445074683</v>
      </c>
      <c r="V81" s="34">
        <f>U81/O81</f>
        <v>0.41510551248923339</v>
      </c>
      <c r="W81" s="30" t="s">
        <v>400</v>
      </c>
      <c r="X81" s="30" t="s">
        <v>27</v>
      </c>
      <c r="Y81" s="30" t="s">
        <v>396</v>
      </c>
      <c r="Z81" s="30" t="s">
        <v>389</v>
      </c>
      <c r="AA81" s="30" t="s">
        <v>390</v>
      </c>
      <c r="AB81" s="30" t="s">
        <v>391</v>
      </c>
      <c r="AC81" s="30" t="s">
        <v>392</v>
      </c>
      <c r="AD81" s="30" t="s">
        <v>393</v>
      </c>
      <c r="AE81" s="30">
        <v>9</v>
      </c>
      <c r="AF81" s="30" t="s">
        <v>394</v>
      </c>
    </row>
    <row r="82" spans="1:32" hidden="1" x14ac:dyDescent="0.35">
      <c r="A82" s="30">
        <v>1005523</v>
      </c>
      <c r="B82" s="30" t="s">
        <v>83</v>
      </c>
      <c r="C82" s="30" t="s">
        <v>12</v>
      </c>
      <c r="D82" s="30" t="s">
        <v>513</v>
      </c>
      <c r="E82" s="30" t="s">
        <v>537</v>
      </c>
      <c r="F82" s="30" t="s">
        <v>396</v>
      </c>
      <c r="G82" s="30" t="s">
        <v>511</v>
      </c>
      <c r="H82" s="30" t="s">
        <v>521</v>
      </c>
      <c r="I82" s="30" t="s">
        <v>417</v>
      </c>
      <c r="J82" s="30" t="s">
        <v>387</v>
      </c>
      <c r="K82" s="30" t="s">
        <v>387</v>
      </c>
      <c r="L82" s="30">
        <v>100</v>
      </c>
      <c r="M82" s="30">
        <v>2100</v>
      </c>
      <c r="N82" s="31">
        <v>1.2195121951219513E-2</v>
      </c>
      <c r="O82" s="32">
        <f>(L82/100)*M82*N82*(20*AE82)</f>
        <v>4609.7560975609758</v>
      </c>
      <c r="P82" s="33">
        <v>2602408</v>
      </c>
      <c r="Q82" s="33">
        <v>300000</v>
      </c>
      <c r="R82" s="33">
        <f>IFERROR(P82*(L82/100),"-")</f>
        <v>2602408</v>
      </c>
      <c r="S82" s="33">
        <f>IFERROR(Q82*(L82/100),"-")</f>
        <v>300000</v>
      </c>
      <c r="T82" s="32">
        <f>IFERROR((R82+S82)/(86*12),"-")</f>
        <v>2812.4108527131784</v>
      </c>
      <c r="U82" s="32">
        <f>O82-T82</f>
        <v>1797.3452448477974</v>
      </c>
      <c r="V82" s="34">
        <f>U82/O82</f>
        <v>0.38990029121036873</v>
      </c>
      <c r="W82" s="30" t="s">
        <v>400</v>
      </c>
      <c r="X82" s="30" t="s">
        <v>27</v>
      </c>
      <c r="Y82" s="30" t="s">
        <v>396</v>
      </c>
      <c r="Z82" s="30" t="s">
        <v>389</v>
      </c>
      <c r="AA82" s="30" t="s">
        <v>390</v>
      </c>
      <c r="AB82" s="30" t="s">
        <v>391</v>
      </c>
      <c r="AC82" s="30" t="s">
        <v>392</v>
      </c>
      <c r="AD82" s="30" t="s">
        <v>393</v>
      </c>
      <c r="AE82" s="30">
        <v>9</v>
      </c>
      <c r="AF82" s="30" t="s">
        <v>394</v>
      </c>
    </row>
    <row r="83" spans="1:32" hidden="1" x14ac:dyDescent="0.35">
      <c r="A83" s="30">
        <v>1014173</v>
      </c>
      <c r="B83" s="30" t="s">
        <v>501</v>
      </c>
      <c r="C83" s="30" t="s">
        <v>12</v>
      </c>
      <c r="D83" s="30" t="s">
        <v>513</v>
      </c>
      <c r="E83" s="30" t="s">
        <v>377</v>
      </c>
      <c r="F83" s="30" t="s">
        <v>385</v>
      </c>
      <c r="G83" s="30" t="s">
        <v>511</v>
      </c>
      <c r="H83" s="30" t="s">
        <v>521</v>
      </c>
      <c r="I83" s="30" t="s">
        <v>502</v>
      </c>
      <c r="J83" s="30" t="s">
        <v>387</v>
      </c>
      <c r="K83" s="30" t="s">
        <v>387</v>
      </c>
      <c r="L83" s="30">
        <v>100</v>
      </c>
      <c r="M83" s="30">
        <v>1800</v>
      </c>
      <c r="N83" s="31">
        <v>1.2195121951219513E-2</v>
      </c>
      <c r="O83" s="32">
        <f>(L83/100)*M83*N83*(20*AE83)</f>
        <v>3951.2195121951222</v>
      </c>
      <c r="P83" s="33">
        <v>2785000</v>
      </c>
      <c r="Q83" s="33">
        <v>300000</v>
      </c>
      <c r="R83" s="33">
        <f>IFERROR(P83*(L83/100),"-")</f>
        <v>2785000</v>
      </c>
      <c r="S83" s="33">
        <f>IFERROR(Q83*(L83/100),"-")</f>
        <v>300000</v>
      </c>
      <c r="T83" s="32">
        <f>IFERROR((R83+S83)/(86*12),"-")</f>
        <v>2989.3410852713178</v>
      </c>
      <c r="U83" s="32">
        <f>O83-T83</f>
        <v>961.87842692380445</v>
      </c>
      <c r="V83" s="34">
        <f>U83/O83</f>
        <v>0.24343836730787641</v>
      </c>
      <c r="W83" s="30" t="s">
        <v>400</v>
      </c>
      <c r="X83" s="30" t="s">
        <v>27</v>
      </c>
      <c r="Y83" s="30" t="s">
        <v>396</v>
      </c>
      <c r="Z83" s="30" t="s">
        <v>389</v>
      </c>
      <c r="AA83" s="30" t="s">
        <v>390</v>
      </c>
      <c r="AB83" s="30" t="s">
        <v>391</v>
      </c>
      <c r="AC83" s="30" t="s">
        <v>392</v>
      </c>
      <c r="AD83" s="30" t="s">
        <v>393</v>
      </c>
      <c r="AE83" s="30">
        <v>9</v>
      </c>
      <c r="AF83" s="30" t="s">
        <v>394</v>
      </c>
    </row>
    <row r="84" spans="1:32" x14ac:dyDescent="0.35">
      <c r="A84" s="38">
        <v>1017777</v>
      </c>
      <c r="B84" s="39" t="s">
        <v>201</v>
      </c>
      <c r="C84" s="40"/>
      <c r="D84" s="40"/>
      <c r="E84" s="40"/>
      <c r="F84" s="40"/>
      <c r="G84" s="40"/>
      <c r="H84" s="40"/>
      <c r="I84" s="40" t="s">
        <v>14</v>
      </c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53">
        <v>0.39047619047619048</v>
      </c>
      <c r="W84" s="40"/>
      <c r="X84" s="30" t="s">
        <v>27</v>
      </c>
      <c r="Y84" s="40"/>
      <c r="Z84" s="40"/>
      <c r="AA84" s="40"/>
      <c r="AB84" s="40"/>
      <c r="AC84" s="40"/>
      <c r="AD84" s="40"/>
      <c r="AE84" s="40"/>
      <c r="AF84" s="40"/>
    </row>
    <row r="85" spans="1:32" x14ac:dyDescent="0.35">
      <c r="A85" s="38">
        <v>1101854</v>
      </c>
      <c r="B85" s="39" t="s">
        <v>594</v>
      </c>
      <c r="C85" s="40"/>
      <c r="D85" s="40"/>
      <c r="E85" s="40"/>
      <c r="F85" s="40"/>
      <c r="G85" s="40"/>
      <c r="H85" s="40"/>
      <c r="I85" s="40" t="s">
        <v>14</v>
      </c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53">
        <v>0.4642857142857143</v>
      </c>
      <c r="W85" s="40"/>
      <c r="X85" s="30" t="s">
        <v>27</v>
      </c>
      <c r="Y85" s="40"/>
      <c r="Z85" s="40"/>
      <c r="AA85" s="40"/>
      <c r="AB85" s="40"/>
      <c r="AC85" s="40"/>
      <c r="AD85" s="40"/>
      <c r="AE85" s="40"/>
      <c r="AF85" s="40"/>
    </row>
    <row r="86" spans="1:32" x14ac:dyDescent="0.35">
      <c r="A86" s="38">
        <v>1101676</v>
      </c>
      <c r="B86" s="39" t="s">
        <v>327</v>
      </c>
      <c r="C86" s="40"/>
      <c r="D86" s="40"/>
      <c r="E86" s="40"/>
      <c r="F86" s="40"/>
      <c r="G86" s="40"/>
      <c r="H86" s="40"/>
      <c r="I86" s="40" t="s">
        <v>14</v>
      </c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53">
        <v>0.4642857142857143</v>
      </c>
      <c r="W86" s="40"/>
      <c r="X86" s="30" t="s">
        <v>27</v>
      </c>
      <c r="Y86" s="40"/>
      <c r="Z86" s="40"/>
      <c r="AA86" s="40"/>
      <c r="AB86" s="40"/>
      <c r="AC86" s="40"/>
      <c r="AD86" s="40"/>
      <c r="AE86" s="40"/>
      <c r="AF86" s="40"/>
    </row>
    <row r="87" spans="1:32" hidden="1" x14ac:dyDescent="0.35">
      <c r="A87" s="30">
        <v>1017094</v>
      </c>
      <c r="B87" s="30" t="s">
        <v>410</v>
      </c>
      <c r="C87" s="30" t="s">
        <v>12</v>
      </c>
      <c r="D87" s="30" t="s">
        <v>513</v>
      </c>
      <c r="E87" s="30" t="s">
        <v>516</v>
      </c>
      <c r="F87" s="30" t="s">
        <v>396</v>
      </c>
      <c r="G87" s="30" t="s">
        <v>392</v>
      </c>
      <c r="H87" s="30" t="s">
        <v>393</v>
      </c>
      <c r="I87" s="30" t="s">
        <v>411</v>
      </c>
      <c r="J87" s="30" t="s">
        <v>387</v>
      </c>
      <c r="K87" s="30" t="s">
        <v>387</v>
      </c>
      <c r="L87" s="30">
        <v>100</v>
      </c>
      <c r="M87" s="30">
        <v>880</v>
      </c>
      <c r="N87" s="31">
        <v>1.2195121951219513E-2</v>
      </c>
      <c r="O87" s="32">
        <f>(L87/100)*M87*N87*(20*AE87)</f>
        <v>1931.7073170731708</v>
      </c>
      <c r="P87" s="33">
        <v>812508</v>
      </c>
      <c r="Q87" s="33">
        <v>300000</v>
      </c>
      <c r="R87" s="33">
        <f>IFERROR(P87*(L87/100),"-")</f>
        <v>812508</v>
      </c>
      <c r="S87" s="33">
        <f>IFERROR(Q87*(L87/100),"-")</f>
        <v>300000</v>
      </c>
      <c r="T87" s="32">
        <f>IFERROR((R87+S87)/(86*12),"-")</f>
        <v>1078.0116279069769</v>
      </c>
      <c r="U87" s="32">
        <f>O87-T87</f>
        <v>853.69568916619392</v>
      </c>
      <c r="V87" s="34">
        <f>U87/O87</f>
        <v>0.44193842494714586</v>
      </c>
      <c r="W87" s="30" t="s">
        <v>412</v>
      </c>
      <c r="X87" s="30" t="s">
        <v>146</v>
      </c>
      <c r="Y87" s="30" t="s">
        <v>396</v>
      </c>
      <c r="Z87" s="30" t="s">
        <v>389</v>
      </c>
      <c r="AA87" s="30" t="s">
        <v>390</v>
      </c>
      <c r="AB87" s="30" t="s">
        <v>391</v>
      </c>
      <c r="AC87" s="30" t="s">
        <v>392</v>
      </c>
      <c r="AD87" s="30" t="s">
        <v>393</v>
      </c>
      <c r="AE87" s="30">
        <v>9</v>
      </c>
      <c r="AF87" s="30" t="s">
        <v>394</v>
      </c>
    </row>
    <row r="88" spans="1:32" hidden="1" x14ac:dyDescent="0.35">
      <c r="A88" s="30">
        <v>1012750</v>
      </c>
      <c r="B88" s="30" t="s">
        <v>415</v>
      </c>
      <c r="C88" s="30" t="s">
        <v>12</v>
      </c>
      <c r="D88" s="30" t="s">
        <v>513</v>
      </c>
      <c r="E88" s="30" t="s">
        <v>517</v>
      </c>
      <c r="F88" s="30" t="s">
        <v>408</v>
      </c>
      <c r="G88" s="30" t="s">
        <v>392</v>
      </c>
      <c r="H88" s="30" t="s">
        <v>393</v>
      </c>
      <c r="I88" s="30" t="s">
        <v>77</v>
      </c>
      <c r="J88" s="30" t="s">
        <v>387</v>
      </c>
      <c r="K88" s="30" t="s">
        <v>387</v>
      </c>
      <c r="L88" s="30">
        <v>100</v>
      </c>
      <c r="M88" s="30">
        <v>1400</v>
      </c>
      <c r="N88" s="31">
        <v>1.2195121951219513E-2</v>
      </c>
      <c r="O88" s="32">
        <f>(L88/100)*M88*N88*(20*AE88)</f>
        <v>3073.1707317073174</v>
      </c>
      <c r="P88" s="33">
        <v>862908</v>
      </c>
      <c r="Q88" s="33">
        <v>300000</v>
      </c>
      <c r="R88" s="33">
        <f>IFERROR(P88*(L88/100),"-")</f>
        <v>862908</v>
      </c>
      <c r="S88" s="33">
        <f>IFERROR(Q88*(L88/100),"-")</f>
        <v>300000</v>
      </c>
      <c r="T88" s="32">
        <f>IFERROR((R88+S88)/(86*12),"-")</f>
        <v>1126.8488372093022</v>
      </c>
      <c r="U88" s="32">
        <f>O88-T88</f>
        <v>1946.3218944980151</v>
      </c>
      <c r="V88" s="34">
        <f>U88/O88</f>
        <v>0.63332696566998903</v>
      </c>
      <c r="W88" s="30" t="s">
        <v>403</v>
      </c>
      <c r="X88" s="30" t="s">
        <v>100</v>
      </c>
      <c r="Y88" s="30" t="s">
        <v>396</v>
      </c>
      <c r="Z88" s="30" t="s">
        <v>389</v>
      </c>
      <c r="AA88" s="30" t="s">
        <v>390</v>
      </c>
      <c r="AB88" s="30" t="s">
        <v>391</v>
      </c>
      <c r="AC88" s="30" t="s">
        <v>392</v>
      </c>
      <c r="AD88" s="30" t="s">
        <v>393</v>
      </c>
      <c r="AE88" s="30">
        <v>9</v>
      </c>
      <c r="AF88" s="30" t="s">
        <v>394</v>
      </c>
    </row>
    <row r="89" spans="1:32" hidden="1" x14ac:dyDescent="0.35">
      <c r="A89" s="30">
        <v>1102109</v>
      </c>
      <c r="B89" s="30" t="s">
        <v>349</v>
      </c>
      <c r="C89" s="30" t="s">
        <v>12</v>
      </c>
      <c r="D89" s="30" t="s">
        <v>513</v>
      </c>
      <c r="E89" s="30" t="s">
        <v>516</v>
      </c>
      <c r="F89" s="30" t="s">
        <v>396</v>
      </c>
      <c r="G89" s="30" t="s">
        <v>511</v>
      </c>
      <c r="H89" s="30" t="s">
        <v>522</v>
      </c>
      <c r="I89" s="30" t="s">
        <v>418</v>
      </c>
      <c r="J89" s="30" t="s">
        <v>387</v>
      </c>
      <c r="K89" s="30" t="s">
        <v>387</v>
      </c>
      <c r="L89" s="30">
        <v>100</v>
      </c>
      <c r="M89" s="30">
        <v>1700</v>
      </c>
      <c r="N89" s="31">
        <v>1.2195121951219513E-2</v>
      </c>
      <c r="O89" s="32">
        <f>(L89/100)*M89*N89*(20*AE89)</f>
        <v>3731.707317073171</v>
      </c>
      <c r="P89" s="33">
        <v>1100004</v>
      </c>
      <c r="Q89" s="33">
        <v>300000</v>
      </c>
      <c r="R89" s="33">
        <f>IFERROR(P89*(L89/100),"-")</f>
        <v>1100004</v>
      </c>
      <c r="S89" s="33">
        <f>IFERROR(Q89*(L89/100),"-")</f>
        <v>300000</v>
      </c>
      <c r="T89" s="32">
        <f>IFERROR((R89+S89)/(86*12),"-")</f>
        <v>1356.5930232558139</v>
      </c>
      <c r="U89" s="32">
        <f>O89-T89</f>
        <v>2375.1142938173571</v>
      </c>
      <c r="V89" s="34">
        <f>U89/O89</f>
        <v>0.63646853625171007</v>
      </c>
      <c r="W89" s="30" t="s">
        <v>403</v>
      </c>
      <c r="X89" s="30" t="s">
        <v>100</v>
      </c>
      <c r="Y89" s="30" t="s">
        <v>396</v>
      </c>
      <c r="Z89" s="30" t="s">
        <v>389</v>
      </c>
      <c r="AA89" s="30" t="s">
        <v>390</v>
      </c>
      <c r="AB89" s="30" t="s">
        <v>391</v>
      </c>
      <c r="AC89" s="30" t="s">
        <v>392</v>
      </c>
      <c r="AD89" s="30" t="s">
        <v>393</v>
      </c>
      <c r="AE89" s="30">
        <v>9</v>
      </c>
      <c r="AF89" s="30" t="s">
        <v>394</v>
      </c>
    </row>
    <row r="90" spans="1:32" hidden="1" x14ac:dyDescent="0.35">
      <c r="A90" s="30">
        <v>1016906</v>
      </c>
      <c r="B90" s="30" t="s">
        <v>437</v>
      </c>
      <c r="C90" s="30" t="s">
        <v>12</v>
      </c>
      <c r="D90" s="30" t="s">
        <v>513</v>
      </c>
      <c r="E90" s="30" t="s">
        <v>516</v>
      </c>
      <c r="F90" s="30" t="s">
        <v>396</v>
      </c>
      <c r="G90" s="30" t="s">
        <v>392</v>
      </c>
      <c r="H90" s="30" t="s">
        <v>393</v>
      </c>
      <c r="I90" s="30" t="s">
        <v>34</v>
      </c>
      <c r="J90" s="30" t="s">
        <v>387</v>
      </c>
      <c r="K90" s="30" t="s">
        <v>387</v>
      </c>
      <c r="L90" s="30">
        <v>100</v>
      </c>
      <c r="M90" s="30">
        <v>1500</v>
      </c>
      <c r="N90" s="31">
        <v>1.2195121951219513E-2</v>
      </c>
      <c r="O90" s="32">
        <f>(L90/100)*M90*N90*(20*AE90)</f>
        <v>3292.6829268292681</v>
      </c>
      <c r="P90" s="33">
        <v>1264008</v>
      </c>
      <c r="Q90" s="33">
        <v>300000</v>
      </c>
      <c r="R90" s="33">
        <f>IFERROR(P90*(L90/100),"-")</f>
        <v>1264008</v>
      </c>
      <c r="S90" s="33">
        <f>IFERROR(Q90*(L90/100),"-")</f>
        <v>300000</v>
      </c>
      <c r="T90" s="32">
        <f>IFERROR((R90+S90)/(86*12),"-")</f>
        <v>1515.5116279069769</v>
      </c>
      <c r="U90" s="32">
        <f>O90-T90</f>
        <v>1777.1712989222913</v>
      </c>
      <c r="V90" s="34">
        <f>U90/O90</f>
        <v>0.53973350559862177</v>
      </c>
      <c r="W90" s="30" t="s">
        <v>403</v>
      </c>
      <c r="X90" s="30" t="s">
        <v>100</v>
      </c>
      <c r="Y90" s="30" t="s">
        <v>396</v>
      </c>
      <c r="Z90" s="30" t="s">
        <v>389</v>
      </c>
      <c r="AA90" s="30" t="s">
        <v>390</v>
      </c>
      <c r="AB90" s="30" t="s">
        <v>391</v>
      </c>
      <c r="AC90" s="30" t="s">
        <v>392</v>
      </c>
      <c r="AD90" s="30" t="s">
        <v>393</v>
      </c>
      <c r="AE90" s="30">
        <v>9</v>
      </c>
      <c r="AF90" s="30" t="s">
        <v>394</v>
      </c>
    </row>
    <row r="91" spans="1:32" hidden="1" x14ac:dyDescent="0.35">
      <c r="A91" s="30">
        <v>1102035</v>
      </c>
      <c r="B91" s="30" t="s">
        <v>338</v>
      </c>
      <c r="C91" s="30" t="s">
        <v>12</v>
      </c>
      <c r="D91" s="30" t="s">
        <v>513</v>
      </c>
      <c r="E91" s="30" t="s">
        <v>516</v>
      </c>
      <c r="F91" s="30" t="s">
        <v>396</v>
      </c>
      <c r="G91" s="30" t="s">
        <v>392</v>
      </c>
      <c r="H91" s="30" t="s">
        <v>393</v>
      </c>
      <c r="I91" s="30" t="s">
        <v>77</v>
      </c>
      <c r="J91" s="30" t="s">
        <v>387</v>
      </c>
      <c r="K91" s="30" t="s">
        <v>387</v>
      </c>
      <c r="L91" s="30">
        <v>100</v>
      </c>
      <c r="M91" s="30">
        <v>1200</v>
      </c>
      <c r="N91" s="31">
        <v>1.2195121951219513E-2</v>
      </c>
      <c r="O91" s="32">
        <f>(L91/100)*M91*N91*(20*AE91)</f>
        <v>2634.146341463415</v>
      </c>
      <c r="P91" s="33">
        <v>1350000</v>
      </c>
      <c r="Q91" s="33">
        <v>300000</v>
      </c>
      <c r="R91" s="33">
        <f>IFERROR(P91*(L91/100),"-")</f>
        <v>1350000</v>
      </c>
      <c r="S91" s="33">
        <f>IFERROR(Q91*(L91/100),"-")</f>
        <v>300000</v>
      </c>
      <c r="T91" s="32">
        <f>IFERROR((R91+S91)/(86*12),"-")</f>
        <v>1598.8372093023256</v>
      </c>
      <c r="U91" s="32">
        <f>O91-T91</f>
        <v>1035.3091321610893</v>
      </c>
      <c r="V91" s="34">
        <f>U91/O91</f>
        <v>0.39303402239448759</v>
      </c>
      <c r="W91" s="30" t="s">
        <v>403</v>
      </c>
      <c r="X91" s="30" t="s">
        <v>100</v>
      </c>
      <c r="Y91" s="30" t="s">
        <v>396</v>
      </c>
      <c r="Z91" s="30" t="s">
        <v>389</v>
      </c>
      <c r="AA91" s="30" t="s">
        <v>390</v>
      </c>
      <c r="AB91" s="30" t="s">
        <v>391</v>
      </c>
      <c r="AC91" s="30" t="s">
        <v>392</v>
      </c>
      <c r="AD91" s="30" t="s">
        <v>393</v>
      </c>
      <c r="AE91" s="30">
        <v>9</v>
      </c>
      <c r="AF91" s="30" t="s">
        <v>394</v>
      </c>
    </row>
    <row r="92" spans="1:32" hidden="1" x14ac:dyDescent="0.35">
      <c r="A92" s="30">
        <v>1100468</v>
      </c>
      <c r="B92" s="30" t="s">
        <v>453</v>
      </c>
      <c r="C92" s="30" t="s">
        <v>12</v>
      </c>
      <c r="D92" s="30" t="s">
        <v>513</v>
      </c>
      <c r="E92" s="30" t="s">
        <v>516</v>
      </c>
      <c r="F92" s="30" t="s">
        <v>396</v>
      </c>
      <c r="G92" s="30" t="s">
        <v>392</v>
      </c>
      <c r="H92" s="30" t="s">
        <v>393</v>
      </c>
      <c r="I92" s="30" t="s">
        <v>34</v>
      </c>
      <c r="J92" s="30" t="s">
        <v>387</v>
      </c>
      <c r="K92" s="30" t="s">
        <v>387</v>
      </c>
      <c r="L92" s="30">
        <v>100</v>
      </c>
      <c r="M92" s="30">
        <v>1800</v>
      </c>
      <c r="N92" s="31">
        <v>1.2195121951219513E-2</v>
      </c>
      <c r="O92" s="32">
        <f>(L92/100)*M92*N92*(20*AE92)</f>
        <v>3951.2195121951222</v>
      </c>
      <c r="P92" s="33">
        <v>1500000</v>
      </c>
      <c r="Q92" s="33">
        <v>300000</v>
      </c>
      <c r="R92" s="33">
        <f>IFERROR(P92*(L92/100),"-")</f>
        <v>1500000</v>
      </c>
      <c r="S92" s="33">
        <f>IFERROR(Q92*(L92/100),"-")</f>
        <v>300000</v>
      </c>
      <c r="T92" s="32">
        <f>IFERROR((R92+S92)/(86*12),"-")</f>
        <v>1744.1860465116279</v>
      </c>
      <c r="U92" s="32">
        <f>O92-T92</f>
        <v>2207.0334656834943</v>
      </c>
      <c r="V92" s="34">
        <f>U92/O92</f>
        <v>0.55857019810508191</v>
      </c>
      <c r="W92" s="30" t="s">
        <v>403</v>
      </c>
      <c r="X92" s="30" t="s">
        <v>100</v>
      </c>
      <c r="Y92" s="30" t="s">
        <v>396</v>
      </c>
      <c r="Z92" s="30" t="s">
        <v>389</v>
      </c>
      <c r="AA92" s="30" t="s">
        <v>390</v>
      </c>
      <c r="AB92" s="30" t="s">
        <v>391</v>
      </c>
      <c r="AC92" s="30" t="s">
        <v>392</v>
      </c>
      <c r="AD92" s="30" t="s">
        <v>393</v>
      </c>
      <c r="AE92" s="30">
        <v>9</v>
      </c>
      <c r="AF92" s="30" t="s">
        <v>394</v>
      </c>
    </row>
    <row r="93" spans="1:32" hidden="1" x14ac:dyDescent="0.35">
      <c r="A93" s="30">
        <v>1101688</v>
      </c>
      <c r="B93" s="30" t="s">
        <v>456</v>
      </c>
      <c r="C93" s="30" t="s">
        <v>12</v>
      </c>
      <c r="D93" s="30" t="s">
        <v>513</v>
      </c>
      <c r="E93" s="30" t="s">
        <v>516</v>
      </c>
      <c r="F93" s="30" t="s">
        <v>396</v>
      </c>
      <c r="G93" s="30" t="s">
        <v>392</v>
      </c>
      <c r="H93" s="30" t="s">
        <v>393</v>
      </c>
      <c r="I93" s="30" t="s">
        <v>77</v>
      </c>
      <c r="J93" s="30" t="s">
        <v>387</v>
      </c>
      <c r="K93" s="30" t="s">
        <v>387</v>
      </c>
      <c r="L93" s="30">
        <v>100</v>
      </c>
      <c r="M93" s="30">
        <v>1700</v>
      </c>
      <c r="N93" s="31">
        <v>1.2195121951219513E-2</v>
      </c>
      <c r="O93" s="32">
        <f>(L93/100)*M93*N93*(20*AE93)</f>
        <v>3731.707317073171</v>
      </c>
      <c r="P93" s="33">
        <v>1500000</v>
      </c>
      <c r="Q93" s="33">
        <v>300000</v>
      </c>
      <c r="R93" s="33">
        <f>IFERROR(P93*(L93/100),"-")</f>
        <v>1500000</v>
      </c>
      <c r="S93" s="33">
        <f>IFERROR(Q93*(L93/100),"-")</f>
        <v>300000</v>
      </c>
      <c r="T93" s="32">
        <f>IFERROR((R93+S93)/(86*12),"-")</f>
        <v>1744.1860465116279</v>
      </c>
      <c r="U93" s="32">
        <f>O93-T93</f>
        <v>1987.5212705615431</v>
      </c>
      <c r="V93" s="34">
        <f>U93/O93</f>
        <v>0.53260373917008663</v>
      </c>
      <c r="W93" s="30" t="s">
        <v>403</v>
      </c>
      <c r="X93" s="30" t="s">
        <v>100</v>
      </c>
      <c r="Y93" s="30" t="s">
        <v>396</v>
      </c>
      <c r="Z93" s="30" t="s">
        <v>389</v>
      </c>
      <c r="AA93" s="30" t="s">
        <v>390</v>
      </c>
      <c r="AB93" s="30" t="s">
        <v>391</v>
      </c>
      <c r="AC93" s="30" t="s">
        <v>392</v>
      </c>
      <c r="AD93" s="30" t="s">
        <v>393</v>
      </c>
      <c r="AE93" s="30">
        <v>9</v>
      </c>
      <c r="AF93" s="30" t="s">
        <v>394</v>
      </c>
    </row>
    <row r="94" spans="1:32" hidden="1" x14ac:dyDescent="0.35">
      <c r="A94" s="30">
        <v>1017691</v>
      </c>
      <c r="B94" s="30" t="s">
        <v>466</v>
      </c>
      <c r="C94" s="30" t="s">
        <v>12</v>
      </c>
      <c r="D94" s="30" t="s">
        <v>513</v>
      </c>
      <c r="E94" s="30" t="s">
        <v>520</v>
      </c>
      <c r="F94" s="30" t="s">
        <v>396</v>
      </c>
      <c r="G94" s="30" t="s">
        <v>511</v>
      </c>
      <c r="H94" s="30" t="s">
        <v>521</v>
      </c>
      <c r="I94" s="30" t="s">
        <v>417</v>
      </c>
      <c r="J94" s="30" t="s">
        <v>387</v>
      </c>
      <c r="K94" s="30" t="s">
        <v>387</v>
      </c>
      <c r="L94" s="30">
        <v>100</v>
      </c>
      <c r="M94" s="30">
        <v>1800</v>
      </c>
      <c r="N94" s="31">
        <v>1.2195121951219513E-2</v>
      </c>
      <c r="O94" s="32">
        <f>(L94/100)*M94*N94*(20*AE94)</f>
        <v>3951.2195121951222</v>
      </c>
      <c r="P94" s="33">
        <v>1561800</v>
      </c>
      <c r="Q94" s="33">
        <v>300000</v>
      </c>
      <c r="R94" s="33">
        <f>IFERROR(P94*(L94/100),"-")</f>
        <v>1561800</v>
      </c>
      <c r="S94" s="33">
        <f>IFERROR(Q94*(L94/100),"-")</f>
        <v>300000</v>
      </c>
      <c r="T94" s="32">
        <f>IFERROR((R94+S94)/(86*12),"-")</f>
        <v>1804.0697674418604</v>
      </c>
      <c r="U94" s="32">
        <f>O94-T94</f>
        <v>2147.149744753262</v>
      </c>
      <c r="V94" s="34">
        <f>U94/O94</f>
        <v>0.54341444157335639</v>
      </c>
      <c r="W94" s="30" t="s">
        <v>403</v>
      </c>
      <c r="X94" s="30" t="s">
        <v>100</v>
      </c>
      <c r="Y94" s="30" t="s">
        <v>396</v>
      </c>
      <c r="Z94" s="30" t="s">
        <v>389</v>
      </c>
      <c r="AA94" s="30" t="s">
        <v>390</v>
      </c>
      <c r="AB94" s="30" t="s">
        <v>391</v>
      </c>
      <c r="AC94" s="30" t="s">
        <v>392</v>
      </c>
      <c r="AD94" s="30" t="s">
        <v>393</v>
      </c>
      <c r="AE94" s="30">
        <v>9</v>
      </c>
      <c r="AF94" s="30" t="s">
        <v>394</v>
      </c>
    </row>
    <row r="95" spans="1:32" hidden="1" x14ac:dyDescent="0.35">
      <c r="A95" s="30">
        <v>1100163</v>
      </c>
      <c r="B95" s="30" t="s">
        <v>211</v>
      </c>
      <c r="C95" s="30" t="s">
        <v>12</v>
      </c>
      <c r="D95" s="30" t="s">
        <v>513</v>
      </c>
      <c r="E95" s="30" t="s">
        <v>516</v>
      </c>
      <c r="F95" s="30" t="s">
        <v>396</v>
      </c>
      <c r="G95" s="30" t="s">
        <v>511</v>
      </c>
      <c r="H95" s="30" t="s">
        <v>522</v>
      </c>
      <c r="I95" s="30" t="s">
        <v>418</v>
      </c>
      <c r="J95" s="30" t="s">
        <v>387</v>
      </c>
      <c r="K95" s="30" t="s">
        <v>387</v>
      </c>
      <c r="L95" s="30">
        <v>100</v>
      </c>
      <c r="M95" s="30">
        <v>2100</v>
      </c>
      <c r="N95" s="31">
        <v>1.2195121951219513E-2</v>
      </c>
      <c r="O95" s="32">
        <f>(L95/100)*M95*N95*(20*AE95)</f>
        <v>4609.7560975609758</v>
      </c>
      <c r="P95" s="33">
        <v>1650000</v>
      </c>
      <c r="Q95" s="33">
        <v>300000</v>
      </c>
      <c r="R95" s="33">
        <f>IFERROR(P95*(L95/100),"-")</f>
        <v>1650000</v>
      </c>
      <c r="S95" s="33">
        <f>IFERROR(Q95*(L95/100),"-")</f>
        <v>300000</v>
      </c>
      <c r="T95" s="32">
        <f>IFERROR((R95+S95)/(86*12),"-")</f>
        <v>1889.5348837209303</v>
      </c>
      <c r="U95" s="32">
        <f>O95-T95</f>
        <v>2720.2212138400455</v>
      </c>
      <c r="V95" s="34">
        <f>U95/O95</f>
        <v>0.5901008982404331</v>
      </c>
      <c r="W95" s="30" t="s">
        <v>403</v>
      </c>
      <c r="X95" s="30" t="s">
        <v>100</v>
      </c>
      <c r="Y95" s="30" t="s">
        <v>396</v>
      </c>
      <c r="Z95" s="30" t="s">
        <v>389</v>
      </c>
      <c r="AA95" s="30" t="s">
        <v>390</v>
      </c>
      <c r="AB95" s="30" t="s">
        <v>391</v>
      </c>
      <c r="AC95" s="30" t="s">
        <v>392</v>
      </c>
      <c r="AD95" s="30" t="s">
        <v>393</v>
      </c>
      <c r="AE95" s="30">
        <v>9</v>
      </c>
      <c r="AF95" s="30" t="s">
        <v>394</v>
      </c>
    </row>
    <row r="96" spans="1:32" hidden="1" x14ac:dyDescent="0.35">
      <c r="A96" s="30">
        <v>1102115</v>
      </c>
      <c r="B96" s="30" t="s">
        <v>352</v>
      </c>
      <c r="C96" s="30" t="s">
        <v>12</v>
      </c>
      <c r="D96" s="30" t="s">
        <v>513</v>
      </c>
      <c r="E96" s="30" t="s">
        <v>516</v>
      </c>
      <c r="F96" s="30" t="s">
        <v>396</v>
      </c>
      <c r="G96" s="30" t="s">
        <v>511</v>
      </c>
      <c r="H96" s="30" t="s">
        <v>522</v>
      </c>
      <c r="I96" s="30" t="s">
        <v>418</v>
      </c>
      <c r="J96" s="30" t="s">
        <v>387</v>
      </c>
      <c r="K96" s="30" t="s">
        <v>387</v>
      </c>
      <c r="L96" s="30">
        <v>100</v>
      </c>
      <c r="M96" s="30">
        <v>1700</v>
      </c>
      <c r="N96" s="31">
        <v>1.2195121951219513E-2</v>
      </c>
      <c r="O96" s="32">
        <f>(L96/100)*M96*N96*(20*AE96)</f>
        <v>3731.707317073171</v>
      </c>
      <c r="P96" s="33">
        <v>1800000</v>
      </c>
      <c r="Q96" s="33">
        <v>300000</v>
      </c>
      <c r="R96" s="33">
        <f>IFERROR(P96*(L96/100),"-")</f>
        <v>1800000</v>
      </c>
      <c r="S96" s="33">
        <f>IFERROR(Q96*(L96/100),"-")</f>
        <v>300000</v>
      </c>
      <c r="T96" s="32">
        <f>IFERROR((R96+S96)/(86*12),"-")</f>
        <v>2034.8837209302326</v>
      </c>
      <c r="U96" s="32">
        <f>O96-T96</f>
        <v>1696.8235961429384</v>
      </c>
      <c r="V96" s="34">
        <f>U96/O96</f>
        <v>0.45470436236510109</v>
      </c>
      <c r="W96" s="30" t="s">
        <v>403</v>
      </c>
      <c r="X96" s="30" t="s">
        <v>100</v>
      </c>
      <c r="Y96" s="30" t="s">
        <v>396</v>
      </c>
      <c r="Z96" s="30" t="s">
        <v>389</v>
      </c>
      <c r="AA96" s="30" t="s">
        <v>390</v>
      </c>
      <c r="AB96" s="30" t="s">
        <v>391</v>
      </c>
      <c r="AC96" s="30" t="s">
        <v>392</v>
      </c>
      <c r="AD96" s="30" t="s">
        <v>393</v>
      </c>
      <c r="AE96" s="30">
        <v>9</v>
      </c>
      <c r="AF96" s="30" t="s">
        <v>394</v>
      </c>
    </row>
    <row r="97" spans="1:32" hidden="1" x14ac:dyDescent="0.35">
      <c r="A97" s="30">
        <v>1100076</v>
      </c>
      <c r="B97" s="30" t="s">
        <v>484</v>
      </c>
      <c r="C97" s="30" t="s">
        <v>12</v>
      </c>
      <c r="D97" s="30" t="s">
        <v>513</v>
      </c>
      <c r="E97" s="30" t="s">
        <v>516</v>
      </c>
      <c r="F97" s="30" t="s">
        <v>396</v>
      </c>
      <c r="G97" s="30" t="s">
        <v>511</v>
      </c>
      <c r="H97" s="30" t="s">
        <v>522</v>
      </c>
      <c r="I97" s="30" t="s">
        <v>418</v>
      </c>
      <c r="J97" s="30" t="s">
        <v>387</v>
      </c>
      <c r="K97" s="30" t="s">
        <v>387</v>
      </c>
      <c r="L97" s="30">
        <v>100</v>
      </c>
      <c r="M97" s="30">
        <v>2100</v>
      </c>
      <c r="N97" s="31">
        <v>1.2195121951219513E-2</v>
      </c>
      <c r="O97" s="32">
        <f>(L97/100)*M97*N97*(20*AE97)</f>
        <v>4609.7560975609758</v>
      </c>
      <c r="P97" s="33">
        <v>1850004</v>
      </c>
      <c r="Q97" s="33">
        <v>300000</v>
      </c>
      <c r="R97" s="33">
        <f>IFERROR(P97*(L97/100),"-")</f>
        <v>1850004</v>
      </c>
      <c r="S97" s="33">
        <f>IFERROR(Q97*(L97/100),"-")</f>
        <v>300000</v>
      </c>
      <c r="T97" s="32">
        <f>IFERROR((R97+S97)/(86*12),"-")</f>
        <v>2083.3372093023254</v>
      </c>
      <c r="U97" s="32">
        <f>O97-T97</f>
        <v>2526.4188882586504</v>
      </c>
      <c r="V97" s="34">
        <f>U97/O97</f>
        <v>0.54805912390796119</v>
      </c>
      <c r="W97" s="30" t="s">
        <v>403</v>
      </c>
      <c r="X97" s="30" t="s">
        <v>100</v>
      </c>
      <c r="Y97" s="30" t="s">
        <v>396</v>
      </c>
      <c r="Z97" s="30" t="s">
        <v>389</v>
      </c>
      <c r="AA97" s="30" t="s">
        <v>390</v>
      </c>
      <c r="AB97" s="30" t="s">
        <v>391</v>
      </c>
      <c r="AC97" s="30" t="s">
        <v>392</v>
      </c>
      <c r="AD97" s="30" t="s">
        <v>393</v>
      </c>
      <c r="AE97" s="30">
        <v>9</v>
      </c>
      <c r="AF97" s="30" t="s">
        <v>394</v>
      </c>
    </row>
    <row r="98" spans="1:32" hidden="1" x14ac:dyDescent="0.35">
      <c r="A98" s="30">
        <v>1000110</v>
      </c>
      <c r="B98" s="30" t="s">
        <v>292</v>
      </c>
      <c r="C98" s="30" t="s">
        <v>12</v>
      </c>
      <c r="D98" s="30" t="s">
        <v>513</v>
      </c>
      <c r="E98" s="30" t="s">
        <v>531</v>
      </c>
      <c r="F98" s="30" t="s">
        <v>408</v>
      </c>
      <c r="G98" s="30" t="s">
        <v>392</v>
      </c>
      <c r="H98" s="30" t="s">
        <v>393</v>
      </c>
      <c r="I98" s="30" t="s">
        <v>77</v>
      </c>
      <c r="J98" s="30" t="s">
        <v>387</v>
      </c>
      <c r="K98" s="30" t="s">
        <v>387</v>
      </c>
      <c r="L98" s="30">
        <v>100</v>
      </c>
      <c r="M98" s="30">
        <v>2100</v>
      </c>
      <c r="N98" s="31">
        <v>1.2195121951219513E-2</v>
      </c>
      <c r="O98" s="32">
        <f>(L98/100)*M98*N98*(20*AE98)</f>
        <v>4609.7560975609758</v>
      </c>
      <c r="P98" s="33">
        <v>2500000</v>
      </c>
      <c r="Q98" s="33">
        <v>300000</v>
      </c>
      <c r="R98" s="33">
        <f>IFERROR(P98*(L98/100),"-")</f>
        <v>2500000</v>
      </c>
      <c r="S98" s="33">
        <f>IFERROR(Q98*(L98/100),"-")</f>
        <v>300000</v>
      </c>
      <c r="T98" s="32">
        <f>IFERROR((R98+S98)/(86*12),"-")</f>
        <v>2713.1782945736436</v>
      </c>
      <c r="U98" s="32">
        <f>O98-T98</f>
        <v>1896.5778029873322</v>
      </c>
      <c r="V98" s="34">
        <f>U98/O98</f>
        <v>0.41142693080677578</v>
      </c>
      <c r="W98" s="30" t="s">
        <v>403</v>
      </c>
      <c r="X98" s="30" t="s">
        <v>100</v>
      </c>
      <c r="Y98" s="30" t="s">
        <v>396</v>
      </c>
      <c r="Z98" s="30" t="s">
        <v>389</v>
      </c>
      <c r="AA98" s="30" t="s">
        <v>390</v>
      </c>
      <c r="AB98" s="30" t="s">
        <v>391</v>
      </c>
      <c r="AC98" s="30" t="s">
        <v>392</v>
      </c>
      <c r="AD98" s="30" t="s">
        <v>393</v>
      </c>
      <c r="AE98" s="30">
        <v>9</v>
      </c>
      <c r="AF98" s="30" t="s">
        <v>394</v>
      </c>
    </row>
    <row r="99" spans="1:32" hidden="1" x14ac:dyDescent="0.35">
      <c r="A99" s="30">
        <v>1101314</v>
      </c>
      <c r="B99" s="30" t="s">
        <v>285</v>
      </c>
      <c r="C99" s="30" t="s">
        <v>12</v>
      </c>
      <c r="D99" s="30" t="s">
        <v>513</v>
      </c>
      <c r="E99" s="30" t="s">
        <v>524</v>
      </c>
      <c r="F99" s="30" t="s">
        <v>396</v>
      </c>
      <c r="G99" s="30" t="s">
        <v>392</v>
      </c>
      <c r="H99" s="30" t="s">
        <v>393</v>
      </c>
      <c r="I99" s="30" t="s">
        <v>20</v>
      </c>
      <c r="J99" s="30" t="s">
        <v>387</v>
      </c>
      <c r="K99" s="30" t="s">
        <v>387</v>
      </c>
      <c r="L99" s="30">
        <v>100</v>
      </c>
      <c r="M99" s="30">
        <v>1400</v>
      </c>
      <c r="N99" s="31">
        <v>1.2195121951219513E-2</v>
      </c>
      <c r="O99" s="32">
        <f>(L99/100)*M99*N99*(20*AE99)</f>
        <v>3073.1707317073174</v>
      </c>
      <c r="P99" s="33">
        <v>1300008</v>
      </c>
      <c r="Q99" s="33">
        <v>300000</v>
      </c>
      <c r="R99" s="33">
        <f>IFERROR(P99*(L99/100),"-")</f>
        <v>1300008</v>
      </c>
      <c r="S99" s="33">
        <f>IFERROR(Q99*(L99/100),"-")</f>
        <v>300000</v>
      </c>
      <c r="T99" s="32">
        <f>IFERROR((R99+S99)/(86*12),"-")</f>
        <v>1550.3953488372092</v>
      </c>
      <c r="U99" s="32">
        <f>O99-T99</f>
        <v>1522.7753828701082</v>
      </c>
      <c r="V99" s="34">
        <f>U99/O99</f>
        <v>0.4955062753783685</v>
      </c>
      <c r="W99" s="30" t="s">
        <v>402</v>
      </c>
      <c r="X99" s="30" t="s">
        <v>53</v>
      </c>
      <c r="Y99" s="30" t="s">
        <v>396</v>
      </c>
      <c r="Z99" s="30" t="s">
        <v>389</v>
      </c>
      <c r="AA99" s="30" t="s">
        <v>390</v>
      </c>
      <c r="AB99" s="30" t="s">
        <v>391</v>
      </c>
      <c r="AC99" s="30" t="s">
        <v>392</v>
      </c>
      <c r="AD99" s="30" t="s">
        <v>393</v>
      </c>
      <c r="AE99" s="30">
        <v>9</v>
      </c>
      <c r="AF99" s="30" t="s">
        <v>394</v>
      </c>
    </row>
    <row r="100" spans="1:32" hidden="1" x14ac:dyDescent="0.35">
      <c r="A100" s="30">
        <v>1101424</v>
      </c>
      <c r="B100" s="30" t="s">
        <v>448</v>
      </c>
      <c r="C100" s="30" t="s">
        <v>12</v>
      </c>
      <c r="D100" s="30" t="s">
        <v>513</v>
      </c>
      <c r="E100" s="30" t="s">
        <v>516</v>
      </c>
      <c r="F100" s="30" t="s">
        <v>396</v>
      </c>
      <c r="G100" s="30" t="s">
        <v>392</v>
      </c>
      <c r="H100" s="30" t="s">
        <v>393</v>
      </c>
      <c r="I100" s="30" t="s">
        <v>77</v>
      </c>
      <c r="J100" s="30" t="s">
        <v>387</v>
      </c>
      <c r="K100" s="30" t="s">
        <v>387</v>
      </c>
      <c r="L100" s="30">
        <v>100</v>
      </c>
      <c r="M100" s="30">
        <v>1400</v>
      </c>
      <c r="N100" s="31">
        <v>1.2195121951219513E-2</v>
      </c>
      <c r="O100" s="32">
        <f>(L100/100)*M100*N100*(20*AE100)</f>
        <v>3073.1707317073174</v>
      </c>
      <c r="P100" s="33">
        <v>1400004</v>
      </c>
      <c r="Q100" s="33">
        <v>300000</v>
      </c>
      <c r="R100" s="33">
        <f>IFERROR(P100*(L100/100),"-")</f>
        <v>1400004</v>
      </c>
      <c r="S100" s="33">
        <f>IFERROR(Q100*(L100/100),"-")</f>
        <v>300000</v>
      </c>
      <c r="T100" s="32">
        <f>IFERROR((R100+S100)/(86*12),"-")</f>
        <v>1647.2906976744187</v>
      </c>
      <c r="U100" s="32">
        <f>O100-T100</f>
        <v>1425.8800340328987</v>
      </c>
      <c r="V100" s="34">
        <f>U100/O100</f>
        <v>0.46397683647102256</v>
      </c>
      <c r="W100" s="30" t="s">
        <v>402</v>
      </c>
      <c r="X100" s="30" t="s">
        <v>53</v>
      </c>
      <c r="Y100" s="30" t="s">
        <v>396</v>
      </c>
      <c r="Z100" s="30" t="s">
        <v>389</v>
      </c>
      <c r="AA100" s="30" t="s">
        <v>390</v>
      </c>
      <c r="AB100" s="30" t="s">
        <v>391</v>
      </c>
      <c r="AC100" s="30" t="s">
        <v>392</v>
      </c>
      <c r="AD100" s="30" t="s">
        <v>393</v>
      </c>
      <c r="AE100" s="30">
        <v>9</v>
      </c>
      <c r="AF100" s="30" t="s">
        <v>394</v>
      </c>
    </row>
    <row r="101" spans="1:32" hidden="1" x14ac:dyDescent="0.35">
      <c r="A101" s="30">
        <v>1100011</v>
      </c>
      <c r="B101" s="30" t="s">
        <v>198</v>
      </c>
      <c r="C101" s="30" t="s">
        <v>12</v>
      </c>
      <c r="D101" s="30" t="s">
        <v>513</v>
      </c>
      <c r="E101" s="30" t="s">
        <v>516</v>
      </c>
      <c r="F101" s="30" t="s">
        <v>396</v>
      </c>
      <c r="G101" s="30" t="s">
        <v>511</v>
      </c>
      <c r="H101" s="30" t="s">
        <v>522</v>
      </c>
      <c r="I101" s="30" t="s">
        <v>418</v>
      </c>
      <c r="J101" s="30" t="s">
        <v>387</v>
      </c>
      <c r="K101" s="30" t="s">
        <v>387</v>
      </c>
      <c r="L101" s="30">
        <v>100</v>
      </c>
      <c r="M101" s="30">
        <v>1700</v>
      </c>
      <c r="N101" s="31">
        <v>1.2195121951219513E-2</v>
      </c>
      <c r="O101" s="32">
        <f>(L101/100)*M101*N101*(20*AE101)</f>
        <v>3731.707317073171</v>
      </c>
      <c r="P101" s="33">
        <v>1410600</v>
      </c>
      <c r="Q101" s="33">
        <v>300000</v>
      </c>
      <c r="R101" s="33">
        <f>IFERROR(P101*(L101/100),"-")</f>
        <v>1410600</v>
      </c>
      <c r="S101" s="33">
        <f>IFERROR(Q101*(L101/100),"-")</f>
        <v>300000</v>
      </c>
      <c r="T101" s="32">
        <f>IFERROR((R101+S101)/(86*12),"-")</f>
        <v>1657.5581395348838</v>
      </c>
      <c r="U101" s="32">
        <f>O101-T101</f>
        <v>2074.1491775382874</v>
      </c>
      <c r="V101" s="34">
        <f>U101/O101</f>
        <v>0.55581775345797235</v>
      </c>
      <c r="W101" s="30" t="s">
        <v>402</v>
      </c>
      <c r="X101" s="30" t="s">
        <v>53</v>
      </c>
      <c r="Y101" s="30" t="s">
        <v>396</v>
      </c>
      <c r="Z101" s="30" t="s">
        <v>389</v>
      </c>
      <c r="AA101" s="30" t="s">
        <v>390</v>
      </c>
      <c r="AB101" s="30" t="s">
        <v>391</v>
      </c>
      <c r="AC101" s="30" t="s">
        <v>392</v>
      </c>
      <c r="AD101" s="30" t="s">
        <v>393</v>
      </c>
      <c r="AE101" s="30">
        <v>9</v>
      </c>
      <c r="AF101" s="30" t="s">
        <v>394</v>
      </c>
    </row>
    <row r="102" spans="1:32" hidden="1" x14ac:dyDescent="0.35">
      <c r="A102" s="30">
        <v>1017742</v>
      </c>
      <c r="B102" s="30" t="s">
        <v>311</v>
      </c>
      <c r="C102" s="30" t="s">
        <v>12</v>
      </c>
      <c r="D102" s="30" t="s">
        <v>513</v>
      </c>
      <c r="E102" s="30" t="s">
        <v>516</v>
      </c>
      <c r="F102" s="30" t="s">
        <v>396</v>
      </c>
      <c r="G102" s="30" t="s">
        <v>392</v>
      </c>
      <c r="H102" s="30" t="s">
        <v>393</v>
      </c>
      <c r="I102" s="30" t="s">
        <v>77</v>
      </c>
      <c r="J102" s="30" t="s">
        <v>387</v>
      </c>
      <c r="K102" s="30" t="s">
        <v>387</v>
      </c>
      <c r="L102" s="30">
        <v>100</v>
      </c>
      <c r="M102" s="30">
        <v>1700</v>
      </c>
      <c r="N102" s="31">
        <v>1.2195121951219513E-2</v>
      </c>
      <c r="O102" s="32">
        <f>(L102/100)*M102*N102*(20*AE102)</f>
        <v>3731.707317073171</v>
      </c>
      <c r="P102" s="33">
        <v>1600008</v>
      </c>
      <c r="Q102" s="33">
        <v>300000</v>
      </c>
      <c r="R102" s="33">
        <f>IFERROR(P102*(L102/100),"-")</f>
        <v>1600008</v>
      </c>
      <c r="S102" s="33">
        <f>IFERROR(Q102*(L102/100),"-")</f>
        <v>300000</v>
      </c>
      <c r="T102" s="32">
        <f>IFERROR((R102+S102)/(86*12),"-")</f>
        <v>1841.0930232558139</v>
      </c>
      <c r="U102" s="32">
        <f>O102-T102</f>
        <v>1890.6142938173571</v>
      </c>
      <c r="V102" s="34">
        <f>U102/O102</f>
        <v>0.50663520291837671</v>
      </c>
      <c r="W102" s="30" t="s">
        <v>402</v>
      </c>
      <c r="X102" s="30" t="s">
        <v>53</v>
      </c>
      <c r="Y102" s="30" t="s">
        <v>396</v>
      </c>
      <c r="Z102" s="30" t="s">
        <v>389</v>
      </c>
      <c r="AA102" s="30" t="s">
        <v>390</v>
      </c>
      <c r="AB102" s="30" t="s">
        <v>391</v>
      </c>
      <c r="AC102" s="30" t="s">
        <v>392</v>
      </c>
      <c r="AD102" s="30" t="s">
        <v>393</v>
      </c>
      <c r="AE102" s="30">
        <v>9</v>
      </c>
      <c r="AF102" s="30" t="s">
        <v>394</v>
      </c>
    </row>
    <row r="103" spans="1:32" hidden="1" x14ac:dyDescent="0.35">
      <c r="A103" s="30">
        <v>1100125</v>
      </c>
      <c r="B103" s="30" t="s">
        <v>212</v>
      </c>
      <c r="C103" s="30" t="s">
        <v>12</v>
      </c>
      <c r="D103" s="30" t="s">
        <v>513</v>
      </c>
      <c r="E103" s="30" t="s">
        <v>516</v>
      </c>
      <c r="F103" s="30" t="s">
        <v>396</v>
      </c>
      <c r="G103" s="30" t="s">
        <v>511</v>
      </c>
      <c r="H103" s="30" t="s">
        <v>522</v>
      </c>
      <c r="I103" s="30" t="s">
        <v>418</v>
      </c>
      <c r="J103" s="30" t="s">
        <v>387</v>
      </c>
      <c r="K103" s="30" t="s">
        <v>387</v>
      </c>
      <c r="L103" s="30">
        <v>100</v>
      </c>
      <c r="M103" s="30">
        <v>1800</v>
      </c>
      <c r="N103" s="31">
        <v>1.2195121951219513E-2</v>
      </c>
      <c r="O103" s="32">
        <f>(L103/100)*M103*N103*(20*AE103)</f>
        <v>3951.2195121951222</v>
      </c>
      <c r="P103" s="33">
        <v>1800000</v>
      </c>
      <c r="Q103" s="33">
        <v>300000</v>
      </c>
      <c r="R103" s="33">
        <f>IFERROR(P103*(L103/100),"-")</f>
        <v>1800000</v>
      </c>
      <c r="S103" s="33">
        <f>IFERROR(Q103*(L103/100),"-")</f>
        <v>300000</v>
      </c>
      <c r="T103" s="32">
        <f>IFERROR((R103+S103)/(86*12),"-")</f>
        <v>2034.8837209302326</v>
      </c>
      <c r="U103" s="32">
        <f>O103-T103</f>
        <v>1916.3357912648896</v>
      </c>
      <c r="V103" s="34">
        <f>U103/O103</f>
        <v>0.48499856445592882</v>
      </c>
      <c r="W103" s="30" t="s">
        <v>402</v>
      </c>
      <c r="X103" s="30" t="s">
        <v>53</v>
      </c>
      <c r="Y103" s="30" t="s">
        <v>396</v>
      </c>
      <c r="Z103" s="30" t="s">
        <v>389</v>
      </c>
      <c r="AA103" s="30" t="s">
        <v>390</v>
      </c>
      <c r="AB103" s="30" t="s">
        <v>391</v>
      </c>
      <c r="AC103" s="30" t="s">
        <v>392</v>
      </c>
      <c r="AD103" s="30" t="s">
        <v>393</v>
      </c>
      <c r="AE103" s="30">
        <v>9</v>
      </c>
      <c r="AF103" s="30" t="s">
        <v>394</v>
      </c>
    </row>
    <row r="104" spans="1:32" hidden="1" x14ac:dyDescent="0.35">
      <c r="A104" s="30">
        <v>1015273</v>
      </c>
      <c r="B104" s="30" t="s">
        <v>118</v>
      </c>
      <c r="C104" s="30" t="s">
        <v>12</v>
      </c>
      <c r="D104" s="30" t="s">
        <v>513</v>
      </c>
      <c r="E104" s="30" t="s">
        <v>529</v>
      </c>
      <c r="F104" s="30" t="s">
        <v>396</v>
      </c>
      <c r="G104" s="30" t="s">
        <v>392</v>
      </c>
      <c r="H104" s="30" t="s">
        <v>393</v>
      </c>
      <c r="I104" s="30" t="s">
        <v>77</v>
      </c>
      <c r="J104" s="30" t="s">
        <v>387</v>
      </c>
      <c r="K104" s="30" t="s">
        <v>387</v>
      </c>
      <c r="L104" s="30">
        <v>100</v>
      </c>
      <c r="M104" s="30">
        <v>1800</v>
      </c>
      <c r="N104" s="31">
        <v>1.2195121951219513E-2</v>
      </c>
      <c r="O104" s="32">
        <f>(L104/100)*M104*N104*(20*AE104)</f>
        <v>3951.2195121951222</v>
      </c>
      <c r="P104" s="33">
        <v>2003500</v>
      </c>
      <c r="Q104" s="33">
        <v>300000</v>
      </c>
      <c r="R104" s="33">
        <f>IFERROR(P104*(L104/100),"-")</f>
        <v>2003500</v>
      </c>
      <c r="S104" s="33">
        <f>IFERROR(Q104*(L104/100),"-")</f>
        <v>300000</v>
      </c>
      <c r="T104" s="32">
        <f>IFERROR((R104+S104)/(86*12),"-")</f>
        <v>2232.0736434108526</v>
      </c>
      <c r="U104" s="32">
        <f>O104-T104</f>
        <v>1719.1458687842696</v>
      </c>
      <c r="V104" s="34">
        <f>U104/O104</f>
        <v>0.43509247296392006</v>
      </c>
      <c r="W104" s="30" t="s">
        <v>402</v>
      </c>
      <c r="X104" s="30" t="s">
        <v>53</v>
      </c>
      <c r="Y104" s="30" t="s">
        <v>396</v>
      </c>
      <c r="Z104" s="30" t="s">
        <v>389</v>
      </c>
      <c r="AA104" s="30" t="s">
        <v>390</v>
      </c>
      <c r="AB104" s="30" t="s">
        <v>391</v>
      </c>
      <c r="AC104" s="30" t="s">
        <v>392</v>
      </c>
      <c r="AD104" s="30" t="s">
        <v>393</v>
      </c>
      <c r="AE104" s="30">
        <v>9</v>
      </c>
      <c r="AF104" s="30" t="s">
        <v>394</v>
      </c>
    </row>
    <row r="105" spans="1:32" hidden="1" x14ac:dyDescent="0.35">
      <c r="A105" s="30">
        <v>1100746</v>
      </c>
      <c r="B105" s="30" t="s">
        <v>443</v>
      </c>
      <c r="C105" s="30" t="s">
        <v>12</v>
      </c>
      <c r="D105" s="30" t="s">
        <v>513</v>
      </c>
      <c r="E105" s="30" t="s">
        <v>516</v>
      </c>
      <c r="F105" s="30" t="s">
        <v>396</v>
      </c>
      <c r="G105" s="30" t="s">
        <v>392</v>
      </c>
      <c r="H105" s="30" t="s">
        <v>393</v>
      </c>
      <c r="I105" s="30" t="s">
        <v>34</v>
      </c>
      <c r="J105" s="30" t="s">
        <v>387</v>
      </c>
      <c r="K105" s="30" t="s">
        <v>387</v>
      </c>
      <c r="L105" s="30">
        <v>100</v>
      </c>
      <c r="M105" s="30">
        <v>1200</v>
      </c>
      <c r="N105" s="31">
        <v>1.2195121951219513E-2</v>
      </c>
      <c r="O105" s="32">
        <f>(L105/100)*M105*N105*(20*AE105)</f>
        <v>2634.146341463415</v>
      </c>
      <c r="P105" s="33">
        <v>1360008</v>
      </c>
      <c r="Q105" s="33">
        <v>300000</v>
      </c>
      <c r="R105" s="33">
        <f>IFERROR(P105*(L105/100),"-")</f>
        <v>1360008</v>
      </c>
      <c r="S105" s="33">
        <f>IFERROR(Q105*(L105/100),"-")</f>
        <v>300000</v>
      </c>
      <c r="T105" s="32">
        <f>IFERROR((R105+S105)/(86*12),"-")</f>
        <v>1608.5348837209303</v>
      </c>
      <c r="U105" s="32">
        <f>O105-T105</f>
        <v>1025.6114577424846</v>
      </c>
      <c r="V105" s="34">
        <f>U105/O105</f>
        <v>0.38935249784668391</v>
      </c>
      <c r="W105" s="30" t="s">
        <v>444</v>
      </c>
      <c r="X105" s="30" t="s">
        <v>193</v>
      </c>
      <c r="Y105" s="30" t="s">
        <v>396</v>
      </c>
      <c r="Z105" s="30" t="s">
        <v>389</v>
      </c>
      <c r="AA105" s="30" t="s">
        <v>390</v>
      </c>
      <c r="AB105" s="30" t="s">
        <v>391</v>
      </c>
      <c r="AC105" s="30" t="s">
        <v>392</v>
      </c>
      <c r="AD105" s="30" t="s">
        <v>393</v>
      </c>
      <c r="AE105" s="30">
        <v>9</v>
      </c>
      <c r="AF105" s="30" t="s">
        <v>394</v>
      </c>
    </row>
    <row r="106" spans="1:32" hidden="1" x14ac:dyDescent="0.35">
      <c r="A106" s="30">
        <v>1102064</v>
      </c>
      <c r="B106" s="30" t="s">
        <v>329</v>
      </c>
      <c r="C106" s="30" t="s">
        <v>12</v>
      </c>
      <c r="D106" s="30" t="s">
        <v>513</v>
      </c>
      <c r="E106" s="30" t="s">
        <v>516</v>
      </c>
      <c r="F106" s="30" t="s">
        <v>396</v>
      </c>
      <c r="G106" s="30" t="s">
        <v>511</v>
      </c>
      <c r="H106" s="30" t="s">
        <v>521</v>
      </c>
      <c r="I106" s="30" t="s">
        <v>417</v>
      </c>
      <c r="J106" s="30" t="s">
        <v>387</v>
      </c>
      <c r="K106" s="30" t="s">
        <v>387</v>
      </c>
      <c r="L106" s="30">
        <v>100</v>
      </c>
      <c r="M106" s="30">
        <v>1200</v>
      </c>
      <c r="N106" s="31">
        <v>1.2195121951219513E-2</v>
      </c>
      <c r="O106" s="32">
        <f>(L106/100)*M106*N106*(20*AE106)</f>
        <v>2634.146341463415</v>
      </c>
      <c r="P106" s="33">
        <v>1300008</v>
      </c>
      <c r="Q106" s="33">
        <v>300000</v>
      </c>
      <c r="R106" s="33">
        <f>IFERROR(P106*(L106/100),"-")</f>
        <v>1300008</v>
      </c>
      <c r="S106" s="33">
        <f>IFERROR(Q106*(L106/100),"-")</f>
        <v>300000</v>
      </c>
      <c r="T106" s="32">
        <f>IFERROR((R106+S106)/(86*12),"-")</f>
        <v>1550.3953488372092</v>
      </c>
      <c r="U106" s="32">
        <f>O106-T106</f>
        <v>1083.7509926262057</v>
      </c>
      <c r="V106" s="34">
        <f>U106/O106</f>
        <v>0.41142398794142993</v>
      </c>
      <c r="W106" s="30" t="s">
        <v>439</v>
      </c>
      <c r="X106" s="30" t="s">
        <v>50</v>
      </c>
      <c r="Y106" s="30" t="s">
        <v>396</v>
      </c>
      <c r="Z106" s="30" t="s">
        <v>389</v>
      </c>
      <c r="AA106" s="30" t="s">
        <v>390</v>
      </c>
      <c r="AB106" s="30" t="s">
        <v>391</v>
      </c>
      <c r="AC106" s="30" t="s">
        <v>392</v>
      </c>
      <c r="AD106" s="30" t="s">
        <v>393</v>
      </c>
      <c r="AE106" s="30">
        <v>9</v>
      </c>
      <c r="AF106" s="30" t="s">
        <v>394</v>
      </c>
    </row>
    <row r="107" spans="1:32" hidden="1" x14ac:dyDescent="0.35">
      <c r="A107" s="30">
        <v>1009270</v>
      </c>
      <c r="B107" s="30" t="s">
        <v>461</v>
      </c>
      <c r="C107" s="30" t="s">
        <v>12</v>
      </c>
      <c r="D107" s="30" t="s">
        <v>513</v>
      </c>
      <c r="E107" s="30" t="s">
        <v>516</v>
      </c>
      <c r="F107" s="30" t="s">
        <v>396</v>
      </c>
      <c r="G107" s="30" t="s">
        <v>392</v>
      </c>
      <c r="H107" s="30" t="s">
        <v>393</v>
      </c>
      <c r="I107" s="30" t="s">
        <v>386</v>
      </c>
      <c r="J107" s="30" t="s">
        <v>387</v>
      </c>
      <c r="K107" s="30" t="s">
        <v>387</v>
      </c>
      <c r="L107" s="30">
        <v>100</v>
      </c>
      <c r="M107" s="30">
        <v>1800</v>
      </c>
      <c r="N107" s="31">
        <v>1.2195121951219513E-2</v>
      </c>
      <c r="O107" s="32">
        <f>(L107/100)*M107*N107*(20*AE107)</f>
        <v>3951.2195121951222</v>
      </c>
      <c r="P107" s="33">
        <v>1527804</v>
      </c>
      <c r="Q107" s="33">
        <v>300000</v>
      </c>
      <c r="R107" s="33">
        <f>IFERROR(P107*(L107/100),"-")</f>
        <v>1527804</v>
      </c>
      <c r="S107" s="33">
        <f>IFERROR(Q107*(L107/100),"-")</f>
        <v>300000</v>
      </c>
      <c r="T107" s="32">
        <f>IFERROR((R107+S107)/(86*12),"-")</f>
        <v>1771.1279069767443</v>
      </c>
      <c r="U107" s="32">
        <f>O107-T107</f>
        <v>2180.0916052183779</v>
      </c>
      <c r="V107" s="34">
        <f>U107/O107</f>
        <v>0.55175157909847838</v>
      </c>
      <c r="W107" s="30" t="s">
        <v>439</v>
      </c>
      <c r="X107" s="30" t="s">
        <v>50</v>
      </c>
      <c r="Y107" s="30" t="s">
        <v>396</v>
      </c>
      <c r="Z107" s="30" t="s">
        <v>389</v>
      </c>
      <c r="AA107" s="30" t="s">
        <v>390</v>
      </c>
      <c r="AB107" s="30" t="s">
        <v>391</v>
      </c>
      <c r="AC107" s="30" t="s">
        <v>392</v>
      </c>
      <c r="AD107" s="30" t="s">
        <v>393</v>
      </c>
      <c r="AE107" s="30">
        <v>9</v>
      </c>
      <c r="AF107" s="30" t="s">
        <v>394</v>
      </c>
    </row>
    <row r="108" spans="1:32" hidden="1" x14ac:dyDescent="0.35">
      <c r="A108" s="30">
        <v>1013437</v>
      </c>
      <c r="B108" s="30" t="s">
        <v>465</v>
      </c>
      <c r="C108" s="30" t="s">
        <v>12</v>
      </c>
      <c r="D108" s="30" t="s">
        <v>513</v>
      </c>
      <c r="E108" s="30" t="s">
        <v>516</v>
      </c>
      <c r="F108" s="30" t="s">
        <v>396</v>
      </c>
      <c r="G108" s="30" t="s">
        <v>392</v>
      </c>
      <c r="H108" s="30" t="s">
        <v>393</v>
      </c>
      <c r="I108" s="30" t="s">
        <v>386</v>
      </c>
      <c r="J108" s="30" t="s">
        <v>387</v>
      </c>
      <c r="K108" s="30" t="s">
        <v>387</v>
      </c>
      <c r="L108" s="30">
        <v>100</v>
      </c>
      <c r="M108" s="30">
        <v>1800</v>
      </c>
      <c r="N108" s="31">
        <v>1.2195121951219513E-2</v>
      </c>
      <c r="O108" s="32">
        <f>(L108/100)*M108*N108*(20*AE108)</f>
        <v>3951.2195121951222</v>
      </c>
      <c r="P108" s="33">
        <v>1550004</v>
      </c>
      <c r="Q108" s="33">
        <v>300000</v>
      </c>
      <c r="R108" s="33">
        <f>IFERROR(P108*(L108/100),"-")</f>
        <v>1550004</v>
      </c>
      <c r="S108" s="33">
        <f>IFERROR(Q108*(L108/100),"-")</f>
        <v>300000</v>
      </c>
      <c r="T108" s="32">
        <f>IFERROR((R108+S108)/(86*12),"-")</f>
        <v>1792.6395348837209</v>
      </c>
      <c r="U108" s="32">
        <f>O108-T108</f>
        <v>2158.5799773114013</v>
      </c>
      <c r="V108" s="34">
        <f>U108/O108</f>
        <v>0.54630727820844105</v>
      </c>
      <c r="W108" s="30" t="s">
        <v>439</v>
      </c>
      <c r="X108" s="30" t="s">
        <v>50</v>
      </c>
      <c r="Y108" s="30" t="s">
        <v>396</v>
      </c>
      <c r="Z108" s="30" t="s">
        <v>389</v>
      </c>
      <c r="AA108" s="30" t="s">
        <v>390</v>
      </c>
      <c r="AB108" s="30" t="s">
        <v>391</v>
      </c>
      <c r="AC108" s="30" t="s">
        <v>392</v>
      </c>
      <c r="AD108" s="30" t="s">
        <v>393</v>
      </c>
      <c r="AE108" s="30">
        <v>9</v>
      </c>
      <c r="AF108" s="30" t="s">
        <v>394</v>
      </c>
    </row>
    <row r="109" spans="1:32" hidden="1" x14ac:dyDescent="0.35">
      <c r="A109" s="30">
        <v>1009357</v>
      </c>
      <c r="B109" s="30" t="s">
        <v>49</v>
      </c>
      <c r="C109" s="30" t="s">
        <v>12</v>
      </c>
      <c r="D109" s="30" t="s">
        <v>513</v>
      </c>
      <c r="E109" s="30" t="s">
        <v>529</v>
      </c>
      <c r="F109" s="30" t="s">
        <v>396</v>
      </c>
      <c r="G109" s="30" t="s">
        <v>392</v>
      </c>
      <c r="H109" s="30" t="s">
        <v>393</v>
      </c>
      <c r="I109" s="30" t="s">
        <v>77</v>
      </c>
      <c r="J109" s="30" t="s">
        <v>387</v>
      </c>
      <c r="K109" s="30" t="s">
        <v>387</v>
      </c>
      <c r="L109" s="30">
        <v>100</v>
      </c>
      <c r="M109" s="30">
        <v>1800</v>
      </c>
      <c r="N109" s="31">
        <v>1.2195121951219513E-2</v>
      </c>
      <c r="O109" s="32">
        <f>(L109/100)*M109*N109*(20*AE109)</f>
        <v>3951.2195121951222</v>
      </c>
      <c r="P109" s="33">
        <v>1550308</v>
      </c>
      <c r="Q109" s="33">
        <v>300000</v>
      </c>
      <c r="R109" s="33">
        <f>IFERROR(P109*(L109/100),"-")</f>
        <v>1550308</v>
      </c>
      <c r="S109" s="33">
        <f>IFERROR(Q109*(L109/100),"-")</f>
        <v>300000</v>
      </c>
      <c r="T109" s="32">
        <f>IFERROR((R109+S109)/(86*12),"-")</f>
        <v>1792.9341085271317</v>
      </c>
      <c r="U109" s="32">
        <f>O109-T109</f>
        <v>2158.2854036679905</v>
      </c>
      <c r="V109" s="34">
        <f>U109/O109</f>
        <v>0.54623272561967662</v>
      </c>
      <c r="W109" s="30" t="s">
        <v>439</v>
      </c>
      <c r="X109" s="30" t="s">
        <v>50</v>
      </c>
      <c r="Y109" s="30" t="s">
        <v>396</v>
      </c>
      <c r="Z109" s="30" t="s">
        <v>389</v>
      </c>
      <c r="AA109" s="30" t="s">
        <v>390</v>
      </c>
      <c r="AB109" s="30" t="s">
        <v>391</v>
      </c>
      <c r="AC109" s="30" t="s">
        <v>392</v>
      </c>
      <c r="AD109" s="30" t="s">
        <v>393</v>
      </c>
      <c r="AE109" s="30">
        <v>9</v>
      </c>
      <c r="AF109" s="30" t="s">
        <v>394</v>
      </c>
    </row>
    <row r="110" spans="1:32" x14ac:dyDescent="0.35">
      <c r="A110" s="38">
        <v>1009797</v>
      </c>
      <c r="B110" s="39" t="s">
        <v>553</v>
      </c>
      <c r="C110" s="40"/>
      <c r="D110" s="40"/>
      <c r="E110" s="40"/>
      <c r="F110" s="40"/>
      <c r="G110" s="40"/>
      <c r="H110" s="40"/>
      <c r="I110" s="40" t="s">
        <v>14</v>
      </c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53">
        <v>0.30933333333333335</v>
      </c>
      <c r="W110" s="40"/>
      <c r="X110" s="30" t="s">
        <v>56</v>
      </c>
      <c r="Y110" s="40"/>
      <c r="Z110" s="40"/>
      <c r="AA110" s="40"/>
      <c r="AB110" s="40"/>
      <c r="AC110" s="40"/>
      <c r="AD110" s="40"/>
      <c r="AE110" s="40"/>
      <c r="AF110" s="40"/>
    </row>
    <row r="111" spans="1:32" x14ac:dyDescent="0.35">
      <c r="A111" s="38">
        <v>1005201</v>
      </c>
      <c r="B111" s="39" t="s">
        <v>568</v>
      </c>
      <c r="C111" s="40"/>
      <c r="D111" s="40"/>
      <c r="E111" s="40"/>
      <c r="F111" s="40"/>
      <c r="G111" s="40"/>
      <c r="H111" s="40"/>
      <c r="I111" s="40" t="s">
        <v>14</v>
      </c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53">
        <v>0.5471111111111111</v>
      </c>
      <c r="W111" s="40"/>
      <c r="X111" s="30" t="s">
        <v>56</v>
      </c>
      <c r="Y111" s="40"/>
      <c r="Z111" s="40"/>
      <c r="AA111" s="40"/>
      <c r="AB111" s="40"/>
      <c r="AC111" s="40"/>
      <c r="AD111" s="40"/>
      <c r="AE111" s="40"/>
      <c r="AF111" s="40"/>
    </row>
    <row r="112" spans="1:32" x14ac:dyDescent="0.35">
      <c r="A112" s="38">
        <v>1004516</v>
      </c>
      <c r="B112" s="39" t="s">
        <v>186</v>
      </c>
      <c r="C112" s="40"/>
      <c r="D112" s="40"/>
      <c r="E112" s="40"/>
      <c r="F112" s="40"/>
      <c r="G112" s="40"/>
      <c r="H112" s="40"/>
      <c r="I112" s="40" t="s">
        <v>14</v>
      </c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53">
        <v>0.49072222222222223</v>
      </c>
      <c r="W112" s="40"/>
      <c r="X112" s="30" t="s">
        <v>56</v>
      </c>
      <c r="Y112" s="40"/>
      <c r="Z112" s="40"/>
      <c r="AA112" s="40"/>
      <c r="AB112" s="40"/>
      <c r="AC112" s="40"/>
      <c r="AD112" s="40"/>
      <c r="AE112" s="40"/>
      <c r="AF112" s="40"/>
    </row>
    <row r="113" spans="1:32" hidden="1" x14ac:dyDescent="0.35">
      <c r="A113" s="30">
        <v>1102205</v>
      </c>
      <c r="B113" s="30" t="s">
        <v>395</v>
      </c>
      <c r="C113" s="30" t="s">
        <v>12</v>
      </c>
      <c r="D113" s="30" t="s">
        <v>513</v>
      </c>
      <c r="E113" s="30" t="s">
        <v>514</v>
      </c>
      <c r="F113" s="30" t="s">
        <v>396</v>
      </c>
      <c r="G113" s="30" t="s">
        <v>511</v>
      </c>
      <c r="H113" s="30" t="s">
        <v>515</v>
      </c>
      <c r="I113" s="30" t="s">
        <v>397</v>
      </c>
      <c r="J113" s="30" t="s">
        <v>387</v>
      </c>
      <c r="K113" s="30" t="s">
        <v>387</v>
      </c>
      <c r="L113" s="30">
        <v>100</v>
      </c>
      <c r="M113" s="30">
        <v>1700</v>
      </c>
      <c r="N113" s="31">
        <v>1.2195121951219513E-2</v>
      </c>
      <c r="O113" s="32">
        <f>(L113/100)*M113*N113*(20*AE113)</f>
        <v>3731.707317073171</v>
      </c>
      <c r="P113" s="35">
        <v>1389395.0424929177</v>
      </c>
      <c r="Q113" s="33">
        <v>300000</v>
      </c>
      <c r="R113" s="33">
        <f>IFERROR(P113*(L113/100),"-")</f>
        <v>1389395.0424929177</v>
      </c>
      <c r="S113" s="33">
        <f>IFERROR(Q113*(L113/100),"-")</f>
        <v>300000</v>
      </c>
      <c r="T113" s="32">
        <f>IFERROR((R113+S113)/(86*12),"-")</f>
        <v>1637.0107000900366</v>
      </c>
      <c r="U113" s="32">
        <f>O113-T113</f>
        <v>2094.6966169831344</v>
      </c>
      <c r="V113" s="34">
        <f>U113/O113</f>
        <v>0.56132393004123204</v>
      </c>
      <c r="W113" s="30" t="s">
        <v>398</v>
      </c>
      <c r="X113" s="30" t="s">
        <v>32</v>
      </c>
      <c r="Y113" s="30" t="s">
        <v>396</v>
      </c>
      <c r="Z113" s="30" t="s">
        <v>389</v>
      </c>
      <c r="AA113" s="30" t="s">
        <v>390</v>
      </c>
      <c r="AB113" s="30" t="s">
        <v>391</v>
      </c>
      <c r="AC113" s="30" t="s">
        <v>392</v>
      </c>
      <c r="AD113" s="30" t="s">
        <v>393</v>
      </c>
      <c r="AE113" s="30">
        <v>9</v>
      </c>
      <c r="AF113" s="30" t="s">
        <v>394</v>
      </c>
    </row>
    <row r="114" spans="1:32" hidden="1" x14ac:dyDescent="0.35">
      <c r="A114" s="30">
        <v>1100814</v>
      </c>
      <c r="B114" s="30" t="s">
        <v>423</v>
      </c>
      <c r="C114" s="30" t="s">
        <v>12</v>
      </c>
      <c r="D114" s="30" t="s">
        <v>513</v>
      </c>
      <c r="E114" s="30" t="s">
        <v>517</v>
      </c>
      <c r="F114" s="30" t="s">
        <v>396</v>
      </c>
      <c r="G114" s="30" t="s">
        <v>511</v>
      </c>
      <c r="H114" s="30" t="s">
        <v>522</v>
      </c>
      <c r="I114" s="30" t="s">
        <v>418</v>
      </c>
      <c r="J114" s="30" t="s">
        <v>387</v>
      </c>
      <c r="K114" s="30" t="s">
        <v>387</v>
      </c>
      <c r="L114" s="30">
        <v>100</v>
      </c>
      <c r="M114" s="30">
        <v>1200</v>
      </c>
      <c r="N114" s="31">
        <v>1.2195121951219513E-2</v>
      </c>
      <c r="O114" s="32">
        <f>(L114/100)*M114*N114*(20*AE114)</f>
        <v>2634.146341463415</v>
      </c>
      <c r="P114" s="33">
        <v>1050000</v>
      </c>
      <c r="Q114" s="33">
        <v>300000</v>
      </c>
      <c r="R114" s="33">
        <f>IFERROR(P114*(L114/100),"-")</f>
        <v>1050000</v>
      </c>
      <c r="S114" s="33">
        <f>IFERROR(Q114*(L114/100),"-")</f>
        <v>300000</v>
      </c>
      <c r="T114" s="32">
        <f>IFERROR((R114+S114)/(86*12),"-")</f>
        <v>1308.1395348837209</v>
      </c>
      <c r="U114" s="32">
        <f>O114-T114</f>
        <v>1326.0068065796941</v>
      </c>
      <c r="V114" s="34">
        <f>U114/O114</f>
        <v>0.50339147286821717</v>
      </c>
      <c r="W114" s="30" t="s">
        <v>398</v>
      </c>
      <c r="X114" s="30" t="s">
        <v>32</v>
      </c>
      <c r="Y114" s="30" t="s">
        <v>396</v>
      </c>
      <c r="Z114" s="30" t="s">
        <v>389</v>
      </c>
      <c r="AA114" s="30" t="s">
        <v>390</v>
      </c>
      <c r="AB114" s="30" t="s">
        <v>391</v>
      </c>
      <c r="AC114" s="30" t="s">
        <v>392</v>
      </c>
      <c r="AD114" s="30" t="s">
        <v>393</v>
      </c>
      <c r="AE114" s="30">
        <v>9</v>
      </c>
      <c r="AF114" s="30" t="s">
        <v>394</v>
      </c>
    </row>
    <row r="115" spans="1:32" hidden="1" x14ac:dyDescent="0.35">
      <c r="A115" s="30">
        <v>1007362</v>
      </c>
      <c r="B115" s="30" t="s">
        <v>31</v>
      </c>
      <c r="C115" s="30" t="s">
        <v>12</v>
      </c>
      <c r="D115" s="30" t="s">
        <v>513</v>
      </c>
      <c r="E115" s="30" t="s">
        <v>525</v>
      </c>
      <c r="F115" s="30" t="s">
        <v>396</v>
      </c>
      <c r="G115" s="30" t="s">
        <v>511</v>
      </c>
      <c r="H115" s="30" t="s">
        <v>519</v>
      </c>
      <c r="I115" s="30" t="s">
        <v>486</v>
      </c>
      <c r="J115" s="30" t="s">
        <v>387</v>
      </c>
      <c r="K115" s="30" t="s">
        <v>387</v>
      </c>
      <c r="L115" s="30">
        <v>100</v>
      </c>
      <c r="M115" s="30">
        <v>1700</v>
      </c>
      <c r="N115" s="31">
        <v>1.2195121951219513E-2</v>
      </c>
      <c r="O115" s="32">
        <f>(L115/100)*M115*N115*(20*AE115)</f>
        <v>3731.707317073171</v>
      </c>
      <c r="P115" s="33">
        <v>1891000</v>
      </c>
      <c r="Q115" s="33">
        <v>300000</v>
      </c>
      <c r="R115" s="33">
        <f>IFERROR(P115*(L115/100),"-")</f>
        <v>1891000</v>
      </c>
      <c r="S115" s="33">
        <f>IFERROR(Q115*(L115/100),"-")</f>
        <v>300000</v>
      </c>
      <c r="T115" s="32">
        <f>IFERROR((R115+S115)/(86*12),"-")</f>
        <v>2123.062015503876</v>
      </c>
      <c r="U115" s="32">
        <f>O115-T115</f>
        <v>1608.645301569295</v>
      </c>
      <c r="V115" s="34">
        <f>U115/O115</f>
        <v>0.43107488473425548</v>
      </c>
      <c r="W115" s="30" t="s">
        <v>398</v>
      </c>
      <c r="X115" s="30" t="s">
        <v>32</v>
      </c>
      <c r="Y115" s="30" t="s">
        <v>396</v>
      </c>
      <c r="Z115" s="30" t="s">
        <v>389</v>
      </c>
      <c r="AA115" s="30" t="s">
        <v>390</v>
      </c>
      <c r="AB115" s="30" t="s">
        <v>391</v>
      </c>
      <c r="AC115" s="30" t="s">
        <v>392</v>
      </c>
      <c r="AD115" s="30" t="s">
        <v>393</v>
      </c>
      <c r="AE115" s="30">
        <v>9</v>
      </c>
      <c r="AF115" s="30" t="s">
        <v>394</v>
      </c>
    </row>
    <row r="116" spans="1:32" hidden="1" x14ac:dyDescent="0.35">
      <c r="A116" s="30">
        <v>1008531</v>
      </c>
      <c r="B116" s="30" t="s">
        <v>47</v>
      </c>
      <c r="C116" s="30" t="s">
        <v>12</v>
      </c>
      <c r="D116" s="30" t="s">
        <v>513</v>
      </c>
      <c r="E116" s="30" t="s">
        <v>532</v>
      </c>
      <c r="F116" s="30" t="s">
        <v>396</v>
      </c>
      <c r="G116" s="30" t="s">
        <v>392</v>
      </c>
      <c r="H116" s="30" t="s">
        <v>393</v>
      </c>
      <c r="I116" s="30" t="s">
        <v>77</v>
      </c>
      <c r="J116" s="30" t="s">
        <v>387</v>
      </c>
      <c r="K116" s="30" t="s">
        <v>387</v>
      </c>
      <c r="L116" s="30">
        <v>100</v>
      </c>
      <c r="M116" s="30">
        <v>1800</v>
      </c>
      <c r="N116" s="31">
        <v>1.2195121951219513E-2</v>
      </c>
      <c r="O116" s="32">
        <f>(L116/100)*M116*N116*(20*AE116)</f>
        <v>3951.2195121951222</v>
      </c>
      <c r="P116" s="33">
        <v>1948508</v>
      </c>
      <c r="Q116" s="33">
        <v>300000</v>
      </c>
      <c r="R116" s="33">
        <f>IFERROR(P116*(L116/100),"-")</f>
        <v>1948508</v>
      </c>
      <c r="S116" s="33">
        <f>IFERROR(Q116*(L116/100),"-")</f>
        <v>300000</v>
      </c>
      <c r="T116" s="32">
        <f>IFERROR((R116+S116)/(86*12),"-")</f>
        <v>2178.7868217054265</v>
      </c>
      <c r="U116" s="32">
        <f>O116-T116</f>
        <v>1772.4326904896957</v>
      </c>
      <c r="V116" s="34">
        <f>U116/O116</f>
        <v>0.44857864388936741</v>
      </c>
      <c r="W116" s="30" t="s">
        <v>398</v>
      </c>
      <c r="X116" s="30" t="s">
        <v>32</v>
      </c>
      <c r="Y116" s="30" t="s">
        <v>396</v>
      </c>
      <c r="Z116" s="30" t="s">
        <v>389</v>
      </c>
      <c r="AA116" s="30" t="s">
        <v>390</v>
      </c>
      <c r="AB116" s="30" t="s">
        <v>391</v>
      </c>
      <c r="AC116" s="30" t="s">
        <v>392</v>
      </c>
      <c r="AD116" s="30" t="s">
        <v>393</v>
      </c>
      <c r="AE116" s="30">
        <v>9</v>
      </c>
      <c r="AF116" s="30" t="s">
        <v>394</v>
      </c>
    </row>
    <row r="117" spans="1:32" hidden="1" x14ac:dyDescent="0.35">
      <c r="A117" s="30">
        <v>1100752</v>
      </c>
      <c r="B117" s="30" t="s">
        <v>492</v>
      </c>
      <c r="C117" s="30" t="s">
        <v>12</v>
      </c>
      <c r="D117" s="30" t="s">
        <v>513</v>
      </c>
      <c r="E117" s="30" t="s">
        <v>514</v>
      </c>
      <c r="F117" s="30" t="s">
        <v>396</v>
      </c>
      <c r="G117" s="30" t="s">
        <v>511</v>
      </c>
      <c r="H117" s="30" t="s">
        <v>515</v>
      </c>
      <c r="I117" s="30" t="s">
        <v>397</v>
      </c>
      <c r="J117" s="30" t="s">
        <v>387</v>
      </c>
      <c r="K117" s="30" t="s">
        <v>387</v>
      </c>
      <c r="L117" s="30">
        <v>100</v>
      </c>
      <c r="M117" s="30">
        <v>1800</v>
      </c>
      <c r="N117" s="31">
        <v>1.2195121951219513E-2</v>
      </c>
      <c r="O117" s="32">
        <f>(L117/100)*M117*N117*(20*AE117)</f>
        <v>3951.2195121951222</v>
      </c>
      <c r="P117" s="33">
        <v>2100000</v>
      </c>
      <c r="Q117" s="33">
        <v>300000</v>
      </c>
      <c r="R117" s="33">
        <f>IFERROR(P117*(L117/100),"-")</f>
        <v>2100000</v>
      </c>
      <c r="S117" s="33">
        <f>IFERROR(Q117*(L117/100),"-")</f>
        <v>300000</v>
      </c>
      <c r="T117" s="32">
        <f>IFERROR((R117+S117)/(86*12),"-")</f>
        <v>2325.5813953488373</v>
      </c>
      <c r="U117" s="32">
        <f>O117-T117</f>
        <v>1625.6381168462849</v>
      </c>
      <c r="V117" s="34">
        <f>U117/O117</f>
        <v>0.41142693080677578</v>
      </c>
      <c r="W117" s="30" t="s">
        <v>398</v>
      </c>
      <c r="X117" s="30" t="s">
        <v>32</v>
      </c>
      <c r="Y117" s="30" t="s">
        <v>396</v>
      </c>
      <c r="Z117" s="30" t="s">
        <v>389</v>
      </c>
      <c r="AA117" s="30" t="s">
        <v>390</v>
      </c>
      <c r="AB117" s="30" t="s">
        <v>391</v>
      </c>
      <c r="AC117" s="30" t="s">
        <v>392</v>
      </c>
      <c r="AD117" s="30" t="s">
        <v>393</v>
      </c>
      <c r="AE117" s="30">
        <v>9</v>
      </c>
      <c r="AF117" s="30" t="s">
        <v>394</v>
      </c>
    </row>
    <row r="118" spans="1:32" hidden="1" x14ac:dyDescent="0.35">
      <c r="A118" s="30">
        <v>1101611</v>
      </c>
      <c r="B118" s="30" t="s">
        <v>297</v>
      </c>
      <c r="C118" s="30" t="s">
        <v>12</v>
      </c>
      <c r="D118" s="30" t="s">
        <v>513</v>
      </c>
      <c r="E118" s="30" t="s">
        <v>525</v>
      </c>
      <c r="F118" s="30" t="s">
        <v>396</v>
      </c>
      <c r="G118" s="30" t="s">
        <v>511</v>
      </c>
      <c r="H118" s="30" t="s">
        <v>515</v>
      </c>
      <c r="I118" s="30" t="s">
        <v>397</v>
      </c>
      <c r="J118" s="30" t="s">
        <v>387</v>
      </c>
      <c r="K118" s="30" t="s">
        <v>387</v>
      </c>
      <c r="L118" s="30">
        <v>100</v>
      </c>
      <c r="M118" s="30">
        <v>2100</v>
      </c>
      <c r="N118" s="31">
        <v>1.2195121951219513E-2</v>
      </c>
      <c r="O118" s="32">
        <f>(L118/100)*M118*N118*(20*AE118)</f>
        <v>4609.7560975609758</v>
      </c>
      <c r="P118" s="33">
        <v>2800000</v>
      </c>
      <c r="Q118" s="33">
        <v>300000</v>
      </c>
      <c r="R118" s="33">
        <f>IFERROR(P118*(L118/100),"-")</f>
        <v>2800000</v>
      </c>
      <c r="S118" s="33">
        <f>IFERROR(Q118*(L118/100),"-")</f>
        <v>300000</v>
      </c>
      <c r="T118" s="32">
        <f>IFERROR((R118+S118)/(86*12),"-")</f>
        <v>3003.8759689922481</v>
      </c>
      <c r="U118" s="32">
        <f>O118-T118</f>
        <v>1605.8801285687277</v>
      </c>
      <c r="V118" s="34">
        <f>U118/O118</f>
        <v>0.34836553053607322</v>
      </c>
      <c r="W118" s="30" t="s">
        <v>398</v>
      </c>
      <c r="X118" s="30" t="s">
        <v>32</v>
      </c>
      <c r="Y118" s="30" t="s">
        <v>396</v>
      </c>
      <c r="Z118" s="30" t="s">
        <v>389</v>
      </c>
      <c r="AA118" s="30" t="s">
        <v>390</v>
      </c>
      <c r="AB118" s="30" t="s">
        <v>391</v>
      </c>
      <c r="AC118" s="30" t="s">
        <v>392</v>
      </c>
      <c r="AD118" s="30" t="s">
        <v>393</v>
      </c>
      <c r="AE118" s="30">
        <v>9</v>
      </c>
      <c r="AF118" s="30" t="s">
        <v>394</v>
      </c>
    </row>
    <row r="119" spans="1:32" hidden="1" x14ac:dyDescent="0.35">
      <c r="A119" s="30">
        <v>1100287</v>
      </c>
      <c r="B119" s="30" t="s">
        <v>224</v>
      </c>
      <c r="C119" s="30" t="s">
        <v>12</v>
      </c>
      <c r="D119" s="30" t="s">
        <v>513</v>
      </c>
      <c r="E119" s="30" t="s">
        <v>516</v>
      </c>
      <c r="F119" s="30" t="s">
        <v>385</v>
      </c>
      <c r="G119" s="30" t="s">
        <v>392</v>
      </c>
      <c r="H119" s="30" t="s">
        <v>393</v>
      </c>
      <c r="I119" s="30" t="s">
        <v>218</v>
      </c>
      <c r="J119" s="30" t="s">
        <v>387</v>
      </c>
      <c r="K119" s="30" t="s">
        <v>387</v>
      </c>
      <c r="L119" s="30">
        <v>100</v>
      </c>
      <c r="M119" s="30">
        <v>1400</v>
      </c>
      <c r="N119" s="31">
        <v>1.2195121951219513E-2</v>
      </c>
      <c r="O119" s="32">
        <f>(L119/100)*M119*N119*(20*AE119)</f>
        <v>3073.1707317073174</v>
      </c>
      <c r="P119" s="33">
        <v>1326108</v>
      </c>
      <c r="Q119" s="33">
        <v>300000</v>
      </c>
      <c r="R119" s="33">
        <f>IFERROR(P119*(L119/100),"-")</f>
        <v>1326108</v>
      </c>
      <c r="S119" s="33">
        <f>IFERROR(Q119*(L119/100),"-")</f>
        <v>300000</v>
      </c>
      <c r="T119" s="32">
        <f>IFERROR((R119+S119)/(86*12),"-")</f>
        <v>1575.6860465116279</v>
      </c>
      <c r="U119" s="32">
        <f>O119-T119</f>
        <v>1497.4846851956895</v>
      </c>
      <c r="V119" s="34">
        <f>U119/O119</f>
        <v>0.48727676264304176</v>
      </c>
      <c r="W119" s="30" t="s">
        <v>441</v>
      </c>
      <c r="X119" s="30" t="s">
        <v>37</v>
      </c>
      <c r="Y119" s="30" t="s">
        <v>385</v>
      </c>
      <c r="Z119" s="30" t="s">
        <v>389</v>
      </c>
      <c r="AA119" s="30" t="s">
        <v>390</v>
      </c>
      <c r="AB119" s="30" t="s">
        <v>391</v>
      </c>
      <c r="AC119" s="30" t="s">
        <v>392</v>
      </c>
      <c r="AD119" s="30" t="s">
        <v>393</v>
      </c>
      <c r="AE119" s="30">
        <v>9</v>
      </c>
      <c r="AF119" s="30" t="s">
        <v>394</v>
      </c>
    </row>
    <row r="120" spans="1:32" hidden="1" x14ac:dyDescent="0.35">
      <c r="A120" s="30">
        <v>1100284</v>
      </c>
      <c r="B120" s="30" t="s">
        <v>217</v>
      </c>
      <c r="C120" s="30" t="s">
        <v>12</v>
      </c>
      <c r="D120" s="30" t="s">
        <v>513</v>
      </c>
      <c r="E120" s="30" t="s">
        <v>516</v>
      </c>
      <c r="F120" s="30" t="s">
        <v>385</v>
      </c>
      <c r="G120" s="30" t="s">
        <v>392</v>
      </c>
      <c r="H120" s="30" t="s">
        <v>393</v>
      </c>
      <c r="I120" s="30" t="s">
        <v>218</v>
      </c>
      <c r="J120" s="30" t="s">
        <v>387</v>
      </c>
      <c r="K120" s="30" t="s">
        <v>387</v>
      </c>
      <c r="L120" s="30">
        <v>100</v>
      </c>
      <c r="M120" s="30">
        <v>1400</v>
      </c>
      <c r="N120" s="31">
        <v>1.2195121951219513E-2</v>
      </c>
      <c r="O120" s="32">
        <f>(L120/100)*M120*N120*(20*AE120)</f>
        <v>3073.1707317073174</v>
      </c>
      <c r="P120" s="33">
        <v>1456800</v>
      </c>
      <c r="Q120" s="33">
        <v>300000</v>
      </c>
      <c r="R120" s="33">
        <f>IFERROR(P120*(L120/100),"-")</f>
        <v>1456800</v>
      </c>
      <c r="S120" s="33">
        <f>IFERROR(Q120*(L120/100),"-")</f>
        <v>300000</v>
      </c>
      <c r="T120" s="32">
        <f>IFERROR((R120+S120)/(86*12),"-")</f>
        <v>1702.3255813953488</v>
      </c>
      <c r="U120" s="32">
        <f>O120-T120</f>
        <v>1370.8451503119686</v>
      </c>
      <c r="V120" s="34">
        <f>U120/O120</f>
        <v>0.44606866002214846</v>
      </c>
      <c r="W120" s="30" t="s">
        <v>441</v>
      </c>
      <c r="X120" s="30" t="s">
        <v>37</v>
      </c>
      <c r="Y120" s="30" t="s">
        <v>385</v>
      </c>
      <c r="Z120" s="30" t="s">
        <v>389</v>
      </c>
      <c r="AA120" s="30" t="s">
        <v>390</v>
      </c>
      <c r="AB120" s="30" t="s">
        <v>391</v>
      </c>
      <c r="AC120" s="30" t="s">
        <v>392</v>
      </c>
      <c r="AD120" s="30" t="s">
        <v>393</v>
      </c>
      <c r="AE120" s="30">
        <v>9</v>
      </c>
      <c r="AF120" s="30" t="s">
        <v>394</v>
      </c>
    </row>
    <row r="121" spans="1:32" hidden="1" x14ac:dyDescent="0.35">
      <c r="A121" s="30">
        <v>1008473</v>
      </c>
      <c r="B121" s="30" t="s">
        <v>44</v>
      </c>
      <c r="C121" s="30" t="s">
        <v>99</v>
      </c>
      <c r="D121" s="30" t="s">
        <v>513</v>
      </c>
      <c r="E121" s="30" t="s">
        <v>528</v>
      </c>
      <c r="F121" s="30" t="s">
        <v>385</v>
      </c>
      <c r="G121" s="30" t="s">
        <v>392</v>
      </c>
      <c r="H121" s="30" t="s">
        <v>393</v>
      </c>
      <c r="I121" s="30" t="s">
        <v>20</v>
      </c>
      <c r="J121" s="30" t="s">
        <v>387</v>
      </c>
      <c r="K121" s="30" t="s">
        <v>387</v>
      </c>
      <c r="L121" s="30">
        <v>100</v>
      </c>
      <c r="M121" s="30">
        <v>1160</v>
      </c>
      <c r="N121" s="31">
        <v>1.2195121951219513E-2</v>
      </c>
      <c r="O121" s="32">
        <f>(L121/100)*M121*N121*(20*AE121)</f>
        <v>2546.3414634146343</v>
      </c>
      <c r="P121" s="33">
        <v>1503300</v>
      </c>
      <c r="Q121" s="33">
        <v>300000</v>
      </c>
      <c r="R121" s="33">
        <f>IFERROR(P121*(L121/100),"-")</f>
        <v>1503300</v>
      </c>
      <c r="S121" s="33">
        <f>IFERROR(Q121*(L121/100),"-")</f>
        <v>300000</v>
      </c>
      <c r="T121" s="32">
        <f>IFERROR((R121+S121)/(86*12),"-")</f>
        <v>1747.3837209302326</v>
      </c>
      <c r="U121" s="32">
        <f>O121-T121</f>
        <v>798.95774248440171</v>
      </c>
      <c r="V121" s="34">
        <f>U121/O121</f>
        <v>0.31376692951973628</v>
      </c>
      <c r="W121" s="30" t="s">
        <v>441</v>
      </c>
      <c r="X121" s="30" t="s">
        <v>37</v>
      </c>
      <c r="Y121" s="30" t="s">
        <v>385</v>
      </c>
      <c r="Z121" s="30" t="s">
        <v>389</v>
      </c>
      <c r="AA121" s="30" t="s">
        <v>390</v>
      </c>
      <c r="AB121" s="30" t="s">
        <v>391</v>
      </c>
      <c r="AC121" s="30" t="s">
        <v>392</v>
      </c>
      <c r="AD121" s="30" t="s">
        <v>393</v>
      </c>
      <c r="AE121" s="30">
        <v>9</v>
      </c>
      <c r="AF121" s="30" t="s">
        <v>394</v>
      </c>
    </row>
    <row r="122" spans="1:32" hidden="1" x14ac:dyDescent="0.35">
      <c r="A122" s="30">
        <v>1015059</v>
      </c>
      <c r="B122" s="30" t="s">
        <v>458</v>
      </c>
      <c r="C122" s="30" t="s">
        <v>12</v>
      </c>
      <c r="D122" s="30" t="s">
        <v>513</v>
      </c>
      <c r="E122" s="30" t="s">
        <v>528</v>
      </c>
      <c r="F122" s="30" t="s">
        <v>385</v>
      </c>
      <c r="G122" s="30" t="s">
        <v>392</v>
      </c>
      <c r="H122" s="30" t="s">
        <v>393</v>
      </c>
      <c r="I122" s="30" t="s">
        <v>20</v>
      </c>
      <c r="J122" s="30" t="s">
        <v>387</v>
      </c>
      <c r="K122" s="30" t="s">
        <v>387</v>
      </c>
      <c r="L122" s="30">
        <v>100</v>
      </c>
      <c r="M122" s="30">
        <v>1400</v>
      </c>
      <c r="N122" s="31">
        <v>1.2195121951219513E-2</v>
      </c>
      <c r="O122" s="32">
        <f>(L122/100)*M122*N122*(20*AE122)</f>
        <v>3073.1707317073174</v>
      </c>
      <c r="P122" s="33">
        <v>1517508</v>
      </c>
      <c r="Q122" s="33">
        <v>300000</v>
      </c>
      <c r="R122" s="33">
        <f>IFERROR(P122*(L122/100),"-")</f>
        <v>1517508</v>
      </c>
      <c r="S122" s="33">
        <f>IFERROR(Q122*(L122/100),"-")</f>
        <v>300000</v>
      </c>
      <c r="T122" s="32">
        <f>IFERROR((R122+S122)/(86*12),"-")</f>
        <v>1761.1511627906978</v>
      </c>
      <c r="U122" s="32">
        <f>O122-T122</f>
        <v>1312.0195689166196</v>
      </c>
      <c r="V122" s="34">
        <f>U122/O122</f>
        <v>0.42692700258397936</v>
      </c>
      <c r="W122" s="30" t="s">
        <v>441</v>
      </c>
      <c r="X122" s="30" t="s">
        <v>37</v>
      </c>
      <c r="Y122" s="30" t="s">
        <v>385</v>
      </c>
      <c r="Z122" s="30" t="s">
        <v>389</v>
      </c>
      <c r="AA122" s="30" t="s">
        <v>390</v>
      </c>
      <c r="AB122" s="30" t="s">
        <v>391</v>
      </c>
      <c r="AC122" s="30" t="s">
        <v>392</v>
      </c>
      <c r="AD122" s="30" t="s">
        <v>393</v>
      </c>
      <c r="AE122" s="30">
        <v>9</v>
      </c>
      <c r="AF122" s="30" t="s">
        <v>394</v>
      </c>
    </row>
    <row r="123" spans="1:32" hidden="1" x14ac:dyDescent="0.35">
      <c r="A123" s="30">
        <v>1017714</v>
      </c>
      <c r="B123" s="30" t="s">
        <v>216</v>
      </c>
      <c r="C123" s="30" t="s">
        <v>12</v>
      </c>
      <c r="D123" s="30" t="s">
        <v>513</v>
      </c>
      <c r="E123" s="30" t="s">
        <v>516</v>
      </c>
      <c r="F123" s="30" t="s">
        <v>385</v>
      </c>
      <c r="G123" s="30" t="s">
        <v>392</v>
      </c>
      <c r="H123" s="30" t="s">
        <v>393</v>
      </c>
      <c r="I123" s="30" t="s">
        <v>77</v>
      </c>
      <c r="J123" s="30" t="s">
        <v>387</v>
      </c>
      <c r="K123" s="30" t="s">
        <v>387</v>
      </c>
      <c r="L123" s="30">
        <v>100</v>
      </c>
      <c r="M123" s="30">
        <v>1300</v>
      </c>
      <c r="N123" s="31">
        <v>1.2195121951219513E-2</v>
      </c>
      <c r="O123" s="32">
        <f>(L123/100)*M123*N123*(20*AE123)</f>
        <v>2853.6585365853657</v>
      </c>
      <c r="P123" s="33">
        <v>1529100</v>
      </c>
      <c r="Q123" s="33">
        <v>300000</v>
      </c>
      <c r="R123" s="33">
        <f>IFERROR(P123*(L123/100),"-")</f>
        <v>1529100</v>
      </c>
      <c r="S123" s="33">
        <f>IFERROR(Q123*(L123/100),"-")</f>
        <v>300000</v>
      </c>
      <c r="T123" s="32">
        <f>IFERROR((R123+S123)/(86*12),"-")</f>
        <v>1772.3837209302326</v>
      </c>
      <c r="U123" s="32">
        <f>O123-T123</f>
        <v>1081.2748156551331</v>
      </c>
      <c r="V123" s="34">
        <f>U123/O123</f>
        <v>0.37890826873385008</v>
      </c>
      <c r="W123" s="30" t="s">
        <v>441</v>
      </c>
      <c r="X123" s="30" t="s">
        <v>37</v>
      </c>
      <c r="Y123" s="30" t="s">
        <v>385</v>
      </c>
      <c r="Z123" s="30" t="s">
        <v>389</v>
      </c>
      <c r="AA123" s="30" t="s">
        <v>390</v>
      </c>
      <c r="AB123" s="30" t="s">
        <v>391</v>
      </c>
      <c r="AC123" s="30" t="s">
        <v>392</v>
      </c>
      <c r="AD123" s="30" t="s">
        <v>393</v>
      </c>
      <c r="AE123" s="30">
        <v>9</v>
      </c>
      <c r="AF123" s="30" t="s">
        <v>394</v>
      </c>
    </row>
    <row r="124" spans="1:32" hidden="1" x14ac:dyDescent="0.35">
      <c r="A124" s="30">
        <v>1013222</v>
      </c>
      <c r="B124" s="30" t="s">
        <v>464</v>
      </c>
      <c r="C124" s="30" t="s">
        <v>12</v>
      </c>
      <c r="D124" s="30" t="s">
        <v>513</v>
      </c>
      <c r="E124" s="30" t="s">
        <v>517</v>
      </c>
      <c r="F124" s="30" t="s">
        <v>385</v>
      </c>
      <c r="G124" s="30" t="s">
        <v>392</v>
      </c>
      <c r="H124" s="30" t="s">
        <v>393</v>
      </c>
      <c r="I124" s="30" t="s">
        <v>218</v>
      </c>
      <c r="J124" s="30" t="s">
        <v>387</v>
      </c>
      <c r="K124" s="30" t="s">
        <v>387</v>
      </c>
      <c r="L124" s="30">
        <v>100</v>
      </c>
      <c r="M124" s="30">
        <v>1400</v>
      </c>
      <c r="N124" s="31">
        <v>1.2195121951219513E-2</v>
      </c>
      <c r="O124" s="32">
        <f>(L124/100)*M124*N124*(20*AE124)</f>
        <v>3073.1707317073174</v>
      </c>
      <c r="P124" s="33">
        <v>1550004</v>
      </c>
      <c r="Q124" s="33">
        <v>300000</v>
      </c>
      <c r="R124" s="33">
        <f>IFERROR(P124*(L124/100),"-")</f>
        <v>1550004</v>
      </c>
      <c r="S124" s="33">
        <f>IFERROR(Q124*(L124/100),"-")</f>
        <v>300000</v>
      </c>
      <c r="T124" s="32">
        <f>IFERROR((R124+S124)/(86*12),"-")</f>
        <v>1792.6395348837209</v>
      </c>
      <c r="U124" s="32">
        <f>O124-T124</f>
        <v>1280.5311968235965</v>
      </c>
      <c r="V124" s="34">
        <f>U124/O124</f>
        <v>0.41668078626799565</v>
      </c>
      <c r="W124" s="30" t="s">
        <v>441</v>
      </c>
      <c r="X124" s="30" t="s">
        <v>37</v>
      </c>
      <c r="Y124" s="30" t="s">
        <v>385</v>
      </c>
      <c r="Z124" s="30" t="s">
        <v>389</v>
      </c>
      <c r="AA124" s="30" t="s">
        <v>390</v>
      </c>
      <c r="AB124" s="30" t="s">
        <v>391</v>
      </c>
      <c r="AC124" s="30" t="s">
        <v>392</v>
      </c>
      <c r="AD124" s="30" t="s">
        <v>393</v>
      </c>
      <c r="AE124" s="30">
        <v>9</v>
      </c>
      <c r="AF124" s="30" t="s">
        <v>394</v>
      </c>
    </row>
    <row r="125" spans="1:32" hidden="1" x14ac:dyDescent="0.35">
      <c r="A125" s="30">
        <v>1015478</v>
      </c>
      <c r="B125" s="30" t="s">
        <v>469</v>
      </c>
      <c r="C125" s="30" t="s">
        <v>12</v>
      </c>
      <c r="D125" s="30" t="s">
        <v>513</v>
      </c>
      <c r="E125" s="30" t="s">
        <v>516</v>
      </c>
      <c r="F125" s="30" t="s">
        <v>385</v>
      </c>
      <c r="G125" s="30" t="s">
        <v>392</v>
      </c>
      <c r="H125" s="30" t="s">
        <v>393</v>
      </c>
      <c r="I125" s="30" t="s">
        <v>470</v>
      </c>
      <c r="J125" s="30" t="s">
        <v>387</v>
      </c>
      <c r="K125" s="30" t="s">
        <v>387</v>
      </c>
      <c r="L125" s="30">
        <v>100</v>
      </c>
      <c r="M125" s="30">
        <v>1300</v>
      </c>
      <c r="N125" s="31">
        <v>1.2195121951219513E-2</v>
      </c>
      <c r="O125" s="32">
        <f>(L125/100)*M125*N125*(20*AE125)</f>
        <v>2853.6585365853657</v>
      </c>
      <c r="P125" s="33">
        <v>1600404</v>
      </c>
      <c r="Q125" s="33">
        <v>300000</v>
      </c>
      <c r="R125" s="33">
        <f>IFERROR(P125*(L125/100),"-")</f>
        <v>1600404</v>
      </c>
      <c r="S125" s="33">
        <f>IFERROR(Q125*(L125/100),"-")</f>
        <v>300000</v>
      </c>
      <c r="T125" s="32">
        <f>IFERROR((R125+S125)/(86*12),"-")</f>
        <v>1841.4767441860465</v>
      </c>
      <c r="U125" s="32">
        <f>O125-T125</f>
        <v>1012.1817923993192</v>
      </c>
      <c r="V125" s="34">
        <f>U125/O125</f>
        <v>0.3546961836612999</v>
      </c>
      <c r="W125" s="30" t="s">
        <v>441</v>
      </c>
      <c r="X125" s="30" t="s">
        <v>37</v>
      </c>
      <c r="Y125" s="30" t="s">
        <v>385</v>
      </c>
      <c r="Z125" s="30" t="s">
        <v>389</v>
      </c>
      <c r="AA125" s="30" t="s">
        <v>390</v>
      </c>
      <c r="AB125" s="30" t="s">
        <v>391</v>
      </c>
      <c r="AC125" s="30" t="s">
        <v>392</v>
      </c>
      <c r="AD125" s="30" t="s">
        <v>393</v>
      </c>
      <c r="AE125" s="30">
        <v>9</v>
      </c>
      <c r="AF125" s="30" t="s">
        <v>394</v>
      </c>
    </row>
    <row r="126" spans="1:32" hidden="1" x14ac:dyDescent="0.35">
      <c r="A126" s="30">
        <v>1014208</v>
      </c>
      <c r="B126" s="30" t="s">
        <v>192</v>
      </c>
      <c r="C126" s="30" t="s">
        <v>12</v>
      </c>
      <c r="D126" s="30" t="s">
        <v>513</v>
      </c>
      <c r="E126" s="30" t="s">
        <v>520</v>
      </c>
      <c r="F126" s="30" t="s">
        <v>385</v>
      </c>
      <c r="G126" s="30" t="s">
        <v>511</v>
      </c>
      <c r="H126" s="30" t="s">
        <v>521</v>
      </c>
      <c r="I126" s="30" t="s">
        <v>417</v>
      </c>
      <c r="J126" s="30" t="s">
        <v>387</v>
      </c>
      <c r="K126" s="30" t="s">
        <v>387</v>
      </c>
      <c r="L126" s="30">
        <v>100</v>
      </c>
      <c r="M126" s="30">
        <v>1700</v>
      </c>
      <c r="N126" s="31">
        <v>1.2195121951219513E-2</v>
      </c>
      <c r="O126" s="32">
        <f>(L126/100)*M126*N126*(20*AE126)</f>
        <v>3731.707317073171</v>
      </c>
      <c r="P126" s="33">
        <v>1602600</v>
      </c>
      <c r="Q126" s="33">
        <v>300000</v>
      </c>
      <c r="R126" s="33">
        <f>IFERROR(P126*(L126/100),"-")</f>
        <v>1602600</v>
      </c>
      <c r="S126" s="33">
        <f>IFERROR(Q126*(L126/100),"-")</f>
        <v>300000</v>
      </c>
      <c r="T126" s="32">
        <f>IFERROR((R126+S126)/(86*12),"-")</f>
        <v>1843.6046511627908</v>
      </c>
      <c r="U126" s="32">
        <f>O126-T126</f>
        <v>1888.1026659103802</v>
      </c>
      <c r="V126" s="34">
        <f>U126/O126</f>
        <v>0.50596215230278163</v>
      </c>
      <c r="W126" s="30" t="s">
        <v>441</v>
      </c>
      <c r="X126" s="30" t="s">
        <v>37</v>
      </c>
      <c r="Y126" s="30" t="s">
        <v>385</v>
      </c>
      <c r="Z126" s="30" t="s">
        <v>389</v>
      </c>
      <c r="AA126" s="30" t="s">
        <v>390</v>
      </c>
      <c r="AB126" s="30" t="s">
        <v>391</v>
      </c>
      <c r="AC126" s="30" t="s">
        <v>392</v>
      </c>
      <c r="AD126" s="30" t="s">
        <v>393</v>
      </c>
      <c r="AE126" s="30">
        <v>9</v>
      </c>
      <c r="AF126" s="30" t="s">
        <v>394</v>
      </c>
    </row>
    <row r="127" spans="1:32" hidden="1" x14ac:dyDescent="0.35">
      <c r="A127" s="30">
        <v>1007687</v>
      </c>
      <c r="B127" s="30" t="s">
        <v>473</v>
      </c>
      <c r="C127" s="30" t="s">
        <v>12</v>
      </c>
      <c r="D127" s="30" t="s">
        <v>513</v>
      </c>
      <c r="E127" s="30" t="s">
        <v>529</v>
      </c>
      <c r="F127" s="30" t="s">
        <v>385</v>
      </c>
      <c r="G127" s="30" t="s">
        <v>392</v>
      </c>
      <c r="H127" s="30" t="s">
        <v>393</v>
      </c>
      <c r="I127" s="30" t="s">
        <v>218</v>
      </c>
      <c r="J127" s="30" t="s">
        <v>387</v>
      </c>
      <c r="K127" s="30" t="s">
        <v>387</v>
      </c>
      <c r="L127" s="30">
        <v>100</v>
      </c>
      <c r="M127" s="30">
        <v>1700</v>
      </c>
      <c r="N127" s="31">
        <v>1.2195121951219513E-2</v>
      </c>
      <c r="O127" s="32">
        <f>(L127/100)*M127*N127*(20*AE127)</f>
        <v>3731.707317073171</v>
      </c>
      <c r="P127" s="33">
        <v>1669604</v>
      </c>
      <c r="Q127" s="33">
        <v>300000</v>
      </c>
      <c r="R127" s="33">
        <f>IFERROR(P127*(L127/100),"-")</f>
        <v>1669604</v>
      </c>
      <c r="S127" s="33">
        <f>IFERROR(Q127*(L127/100),"-")</f>
        <v>300000</v>
      </c>
      <c r="T127" s="32">
        <f>IFERROR((R127+S127)/(86*12),"-")</f>
        <v>1908.531007751938</v>
      </c>
      <c r="U127" s="32">
        <f>O127-T127</f>
        <v>1823.176309321233</v>
      </c>
      <c r="V127" s="34">
        <f>U127/O127</f>
        <v>0.48856358615797746</v>
      </c>
      <c r="W127" s="30" t="s">
        <v>441</v>
      </c>
      <c r="X127" s="30" t="s">
        <v>37</v>
      </c>
      <c r="Y127" s="30" t="s">
        <v>385</v>
      </c>
      <c r="Z127" s="30" t="s">
        <v>389</v>
      </c>
      <c r="AA127" s="30" t="s">
        <v>390</v>
      </c>
      <c r="AB127" s="30" t="s">
        <v>391</v>
      </c>
      <c r="AC127" s="30" t="s">
        <v>392</v>
      </c>
      <c r="AD127" s="30" t="s">
        <v>393</v>
      </c>
      <c r="AE127" s="30">
        <v>9</v>
      </c>
      <c r="AF127" s="30" t="s">
        <v>394</v>
      </c>
    </row>
    <row r="128" spans="1:32" hidden="1" x14ac:dyDescent="0.35">
      <c r="A128" s="30">
        <v>1006133</v>
      </c>
      <c r="B128" s="30" t="s">
        <v>208</v>
      </c>
      <c r="C128" s="30" t="s">
        <v>12</v>
      </c>
      <c r="D128" s="30" t="s">
        <v>513</v>
      </c>
      <c r="E128" s="30" t="s">
        <v>529</v>
      </c>
      <c r="F128" s="30" t="s">
        <v>385</v>
      </c>
      <c r="G128" s="30" t="s">
        <v>392</v>
      </c>
      <c r="H128" s="30" t="s">
        <v>393</v>
      </c>
      <c r="I128" s="30" t="s">
        <v>77</v>
      </c>
      <c r="J128" s="30" t="s">
        <v>387</v>
      </c>
      <c r="K128" s="30" t="s">
        <v>387</v>
      </c>
      <c r="L128" s="30">
        <v>100</v>
      </c>
      <c r="M128" s="30">
        <v>1800</v>
      </c>
      <c r="N128" s="31">
        <v>1.2195121951219513E-2</v>
      </c>
      <c r="O128" s="32">
        <f>(L128/100)*M128*N128*(20*AE128)</f>
        <v>3951.2195121951222</v>
      </c>
      <c r="P128" s="33">
        <v>1938304</v>
      </c>
      <c r="Q128" s="33">
        <v>300000</v>
      </c>
      <c r="R128" s="33">
        <f>IFERROR(P128*(L128/100),"-")</f>
        <v>1938304</v>
      </c>
      <c r="S128" s="33">
        <f>IFERROR(Q128*(L128/100),"-")</f>
        <v>300000</v>
      </c>
      <c r="T128" s="32">
        <f>IFERROR((R128+S128)/(86*12),"-")</f>
        <v>2168.8992248062013</v>
      </c>
      <c r="U128" s="32">
        <f>O128-T128</f>
        <v>1782.3202873889209</v>
      </c>
      <c r="V128" s="34">
        <f>U128/O128</f>
        <v>0.451081060388554</v>
      </c>
      <c r="W128" s="30" t="s">
        <v>441</v>
      </c>
      <c r="X128" s="30" t="s">
        <v>37</v>
      </c>
      <c r="Y128" s="30" t="s">
        <v>385</v>
      </c>
      <c r="Z128" s="30" t="s">
        <v>389</v>
      </c>
      <c r="AA128" s="30" t="s">
        <v>390</v>
      </c>
      <c r="AB128" s="30" t="s">
        <v>391</v>
      </c>
      <c r="AC128" s="30" t="s">
        <v>392</v>
      </c>
      <c r="AD128" s="30" t="s">
        <v>393</v>
      </c>
      <c r="AE128" s="30">
        <v>9</v>
      </c>
      <c r="AF128" s="30" t="s">
        <v>394</v>
      </c>
    </row>
    <row r="129" spans="1:32" hidden="1" x14ac:dyDescent="0.35">
      <c r="A129" s="30">
        <v>1101327</v>
      </c>
      <c r="B129" s="30" t="s">
        <v>489</v>
      </c>
      <c r="C129" s="30" t="s">
        <v>12</v>
      </c>
      <c r="D129" s="30" t="s">
        <v>513</v>
      </c>
      <c r="E129" s="30" t="s">
        <v>530</v>
      </c>
      <c r="F129" s="30" t="s">
        <v>385</v>
      </c>
      <c r="G129" s="30" t="s">
        <v>511</v>
      </c>
      <c r="H129" s="30" t="s">
        <v>521</v>
      </c>
      <c r="I129" s="30" t="s">
        <v>417</v>
      </c>
      <c r="J129" s="30" t="s">
        <v>387</v>
      </c>
      <c r="K129" s="30" t="s">
        <v>387</v>
      </c>
      <c r="L129" s="30">
        <v>100</v>
      </c>
      <c r="M129" s="30">
        <v>1800</v>
      </c>
      <c r="N129" s="31">
        <v>1.2195121951219513E-2</v>
      </c>
      <c r="O129" s="32">
        <f>(L129/100)*M129*N129*(20*AE129)</f>
        <v>3951.2195121951222</v>
      </c>
      <c r="P129" s="33">
        <v>1950000</v>
      </c>
      <c r="Q129" s="33">
        <v>300000</v>
      </c>
      <c r="R129" s="33">
        <f>IFERROR(P129*(L129/100),"-")</f>
        <v>1950000</v>
      </c>
      <c r="S129" s="33">
        <f>IFERROR(Q129*(L129/100),"-")</f>
        <v>300000</v>
      </c>
      <c r="T129" s="32">
        <f>IFERROR((R129+S129)/(86*12),"-")</f>
        <v>2180.2325581395348</v>
      </c>
      <c r="U129" s="32">
        <f>O129-T129</f>
        <v>1770.9869540555874</v>
      </c>
      <c r="V129" s="34">
        <f>U129/O129</f>
        <v>0.44821274763135233</v>
      </c>
      <c r="W129" s="30" t="s">
        <v>441</v>
      </c>
      <c r="X129" s="30" t="s">
        <v>37</v>
      </c>
      <c r="Y129" s="30" t="s">
        <v>385</v>
      </c>
      <c r="Z129" s="30" t="s">
        <v>389</v>
      </c>
      <c r="AA129" s="30" t="s">
        <v>390</v>
      </c>
      <c r="AB129" s="30" t="s">
        <v>391</v>
      </c>
      <c r="AC129" s="30" t="s">
        <v>392</v>
      </c>
      <c r="AD129" s="30" t="s">
        <v>393</v>
      </c>
      <c r="AE129" s="30">
        <v>9</v>
      </c>
      <c r="AF129" s="30" t="s">
        <v>394</v>
      </c>
    </row>
    <row r="130" spans="1:32" hidden="1" x14ac:dyDescent="0.35">
      <c r="A130" s="30">
        <v>1006932</v>
      </c>
      <c r="B130" s="30" t="s">
        <v>36</v>
      </c>
      <c r="C130" s="30" t="s">
        <v>12</v>
      </c>
      <c r="D130" s="30" t="s">
        <v>513</v>
      </c>
      <c r="E130" s="30" t="s">
        <v>527</v>
      </c>
      <c r="F130" s="30" t="s">
        <v>385</v>
      </c>
      <c r="G130" s="30" t="s">
        <v>392</v>
      </c>
      <c r="H130" s="30" t="s">
        <v>393</v>
      </c>
      <c r="I130" s="30" t="s">
        <v>20</v>
      </c>
      <c r="J130" s="30" t="s">
        <v>387</v>
      </c>
      <c r="K130" s="30" t="s">
        <v>387</v>
      </c>
      <c r="L130" s="30">
        <v>100</v>
      </c>
      <c r="M130" s="30">
        <v>2000</v>
      </c>
      <c r="N130" s="31">
        <v>1.2195121951219513E-2</v>
      </c>
      <c r="O130" s="32">
        <f>(L130/100)*M130*N130*(20*AE130)</f>
        <v>4390.2439024390242</v>
      </c>
      <c r="P130" s="33">
        <v>2400000</v>
      </c>
      <c r="Q130" s="33">
        <v>300000</v>
      </c>
      <c r="R130" s="33">
        <f>IFERROR(P130*(L130/100),"-")</f>
        <v>2400000</v>
      </c>
      <c r="S130" s="33">
        <f>IFERROR(Q130*(L130/100),"-")</f>
        <v>300000</v>
      </c>
      <c r="T130" s="32">
        <f>IFERROR((R130+S130)/(86*12),"-")</f>
        <v>2616.2790697674418</v>
      </c>
      <c r="U130" s="32">
        <f>O130-T130</f>
        <v>1773.9648326715824</v>
      </c>
      <c r="V130" s="34">
        <f>U130/O130</f>
        <v>0.40406976744186046</v>
      </c>
      <c r="W130" s="30" t="s">
        <v>441</v>
      </c>
      <c r="X130" s="30" t="s">
        <v>37</v>
      </c>
      <c r="Y130" s="30" t="s">
        <v>385</v>
      </c>
      <c r="Z130" s="30" t="s">
        <v>389</v>
      </c>
      <c r="AA130" s="30" t="s">
        <v>390</v>
      </c>
      <c r="AB130" s="30" t="s">
        <v>391</v>
      </c>
      <c r="AC130" s="30" t="s">
        <v>392</v>
      </c>
      <c r="AD130" s="30" t="s">
        <v>393</v>
      </c>
      <c r="AE130" s="30">
        <v>9</v>
      </c>
      <c r="AF130" s="30" t="s">
        <v>394</v>
      </c>
    </row>
    <row r="131" spans="1:32" hidden="1" x14ac:dyDescent="0.35">
      <c r="A131" s="30">
        <v>1101270</v>
      </c>
      <c r="B131" s="30" t="s">
        <v>304</v>
      </c>
      <c r="C131" s="30" t="s">
        <v>12</v>
      </c>
      <c r="D131" s="30" t="s">
        <v>513</v>
      </c>
      <c r="E131" s="30" t="s">
        <v>516</v>
      </c>
      <c r="F131" s="30" t="s">
        <v>385</v>
      </c>
      <c r="G131" s="30" t="s">
        <v>392</v>
      </c>
      <c r="H131" s="30" t="s">
        <v>393</v>
      </c>
      <c r="I131" s="30" t="s">
        <v>34</v>
      </c>
      <c r="J131" s="30" t="s">
        <v>387</v>
      </c>
      <c r="K131" s="30" t="s">
        <v>387</v>
      </c>
      <c r="L131" s="30">
        <v>100</v>
      </c>
      <c r="M131" s="30">
        <v>1400</v>
      </c>
      <c r="N131" s="31">
        <v>1.2195121951219513E-2</v>
      </c>
      <c r="O131" s="32">
        <f>(L131/100)*M131*N131*(20*AE131)</f>
        <v>3073.1707317073174</v>
      </c>
      <c r="P131" s="33">
        <v>1450008</v>
      </c>
      <c r="Q131" s="33">
        <v>300000</v>
      </c>
      <c r="R131" s="33">
        <f>IFERROR(P131*(L131/100),"-")</f>
        <v>1450008</v>
      </c>
      <c r="S131" s="33">
        <f>IFERROR(Q131*(L131/100),"-")</f>
        <v>300000</v>
      </c>
      <c r="T131" s="32">
        <f>IFERROR((R131+S131)/(86*12),"-")</f>
        <v>1695.7441860465117</v>
      </c>
      <c r="U131" s="32">
        <f>O131-T131</f>
        <v>1377.4265456608057</v>
      </c>
      <c r="V131" s="34">
        <f>U131/O131</f>
        <v>0.44821022517534148</v>
      </c>
      <c r="W131" s="30" t="s">
        <v>451</v>
      </c>
      <c r="X131" s="30" t="s">
        <v>13</v>
      </c>
      <c r="Y131" s="30" t="s">
        <v>385</v>
      </c>
      <c r="Z131" s="30" t="s">
        <v>389</v>
      </c>
      <c r="AA131" s="30" t="s">
        <v>390</v>
      </c>
      <c r="AB131" s="30" t="s">
        <v>391</v>
      </c>
      <c r="AC131" s="30" t="s">
        <v>392</v>
      </c>
      <c r="AD131" s="30" t="s">
        <v>393</v>
      </c>
      <c r="AE131" s="30">
        <v>9</v>
      </c>
      <c r="AF131" s="30" t="s">
        <v>394</v>
      </c>
    </row>
    <row r="132" spans="1:32" hidden="1" x14ac:dyDescent="0.35">
      <c r="A132" s="30">
        <v>1010017</v>
      </c>
      <c r="B132" s="30" t="s">
        <v>80</v>
      </c>
      <c r="C132" s="30" t="s">
        <v>12</v>
      </c>
      <c r="D132" s="30" t="s">
        <v>513</v>
      </c>
      <c r="E132" s="30" t="s">
        <v>516</v>
      </c>
      <c r="F132" s="30" t="s">
        <v>385</v>
      </c>
      <c r="G132" s="30" t="s">
        <v>392</v>
      </c>
      <c r="H132" s="30" t="s">
        <v>393</v>
      </c>
      <c r="I132" s="30" t="s">
        <v>77</v>
      </c>
      <c r="J132" s="30" t="s">
        <v>387</v>
      </c>
      <c r="K132" s="30" t="s">
        <v>387</v>
      </c>
      <c r="L132" s="30">
        <v>100</v>
      </c>
      <c r="M132" s="30">
        <v>1700</v>
      </c>
      <c r="N132" s="31">
        <v>1.2195121951219513E-2</v>
      </c>
      <c r="O132" s="32">
        <f>(L132/100)*M132*N132*(20*AE132)</f>
        <v>3731.707317073171</v>
      </c>
      <c r="P132" s="33">
        <v>1730004</v>
      </c>
      <c r="Q132" s="33">
        <v>300000</v>
      </c>
      <c r="R132" s="33">
        <f>IFERROR(P132*(L132/100),"-")</f>
        <v>1730004</v>
      </c>
      <c r="S132" s="33">
        <f>IFERROR(Q132*(L132/100),"-")</f>
        <v>300000</v>
      </c>
      <c r="T132" s="32">
        <f>IFERROR((R132+S132)/(86*12),"-")</f>
        <v>1967.0581395348838</v>
      </c>
      <c r="U132" s="32">
        <f>O132-T132</f>
        <v>1764.6491775382872</v>
      </c>
      <c r="V132" s="34">
        <f>U132/O132</f>
        <v>0.4728798449612403</v>
      </c>
      <c r="W132" s="30" t="s">
        <v>451</v>
      </c>
      <c r="X132" s="30" t="s">
        <v>13</v>
      </c>
      <c r="Y132" s="30" t="s">
        <v>385</v>
      </c>
      <c r="Z132" s="30" t="s">
        <v>389</v>
      </c>
      <c r="AA132" s="30" t="s">
        <v>390</v>
      </c>
      <c r="AB132" s="30" t="s">
        <v>391</v>
      </c>
      <c r="AC132" s="30" t="s">
        <v>392</v>
      </c>
      <c r="AD132" s="30" t="s">
        <v>393</v>
      </c>
      <c r="AE132" s="30">
        <v>9</v>
      </c>
      <c r="AF132" s="30" t="s">
        <v>394</v>
      </c>
    </row>
    <row r="133" spans="1:32" hidden="1" x14ac:dyDescent="0.35">
      <c r="A133" s="30">
        <v>1015978</v>
      </c>
      <c r="B133" s="30" t="s">
        <v>478</v>
      </c>
      <c r="C133" s="30" t="s">
        <v>12</v>
      </c>
      <c r="D133" s="30" t="s">
        <v>513</v>
      </c>
      <c r="E133" s="30" t="s">
        <v>516</v>
      </c>
      <c r="F133" s="30" t="s">
        <v>385</v>
      </c>
      <c r="G133" s="30" t="s">
        <v>392</v>
      </c>
      <c r="H133" s="30" t="s">
        <v>393</v>
      </c>
      <c r="I133" s="30" t="s">
        <v>34</v>
      </c>
      <c r="J133" s="30" t="s">
        <v>387</v>
      </c>
      <c r="K133" s="30" t="s">
        <v>387</v>
      </c>
      <c r="L133" s="30">
        <v>100</v>
      </c>
      <c r="M133" s="30">
        <v>1400</v>
      </c>
      <c r="N133" s="31">
        <v>1.2195121951219513E-2</v>
      </c>
      <c r="O133" s="32">
        <f>(L133/100)*M133*N133*(20*AE133)</f>
        <v>3073.1707317073174</v>
      </c>
      <c r="P133" s="33">
        <v>1764204</v>
      </c>
      <c r="Q133" s="33">
        <v>300000</v>
      </c>
      <c r="R133" s="33">
        <f>IFERROR(P133*(L133/100),"-")</f>
        <v>1764204</v>
      </c>
      <c r="S133" s="33">
        <f>IFERROR(Q133*(L133/100),"-")</f>
        <v>300000</v>
      </c>
      <c r="T133" s="32">
        <f>IFERROR((R133+S133)/(86*12),"-")</f>
        <v>2000.1976744186047</v>
      </c>
      <c r="U133" s="32">
        <f>O133-T133</f>
        <v>1072.9730572887127</v>
      </c>
      <c r="V133" s="34">
        <f>U133/O133</f>
        <v>0.34914202657807314</v>
      </c>
      <c r="W133" s="30" t="s">
        <v>451</v>
      </c>
      <c r="X133" s="30" t="s">
        <v>13</v>
      </c>
      <c r="Y133" s="30" t="s">
        <v>385</v>
      </c>
      <c r="Z133" s="30" t="s">
        <v>389</v>
      </c>
      <c r="AA133" s="30" t="s">
        <v>390</v>
      </c>
      <c r="AB133" s="30" t="s">
        <v>391</v>
      </c>
      <c r="AC133" s="30" t="s">
        <v>392</v>
      </c>
      <c r="AD133" s="30" t="s">
        <v>393</v>
      </c>
      <c r="AE133" s="30">
        <v>9</v>
      </c>
      <c r="AF133" s="30" t="s">
        <v>394</v>
      </c>
    </row>
    <row r="134" spans="1:32" x14ac:dyDescent="0.35">
      <c r="A134" s="38">
        <v>1000111</v>
      </c>
      <c r="B134" s="39" t="s">
        <v>546</v>
      </c>
      <c r="C134" s="40"/>
      <c r="D134" s="40"/>
      <c r="E134" s="40"/>
      <c r="F134" s="40"/>
      <c r="G134" s="40"/>
      <c r="H134" s="40"/>
      <c r="I134" s="40" t="s">
        <v>14</v>
      </c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53">
        <v>0.42911904761904762</v>
      </c>
      <c r="W134" s="40"/>
      <c r="X134" s="30" t="s">
        <v>13</v>
      </c>
      <c r="Y134" s="40"/>
      <c r="Z134" s="40"/>
      <c r="AA134" s="40"/>
      <c r="AB134" s="40"/>
      <c r="AC134" s="40"/>
      <c r="AD134" s="40"/>
      <c r="AE134" s="40"/>
      <c r="AF134" s="40"/>
    </row>
    <row r="135" spans="1:32" x14ac:dyDescent="0.35">
      <c r="A135" s="38">
        <v>1013812</v>
      </c>
      <c r="B135" s="39" t="s">
        <v>580</v>
      </c>
      <c r="C135" s="40"/>
      <c r="D135" s="40"/>
      <c r="E135" s="40"/>
      <c r="F135" s="40"/>
      <c r="G135" s="40"/>
      <c r="H135" s="40"/>
      <c r="I135" s="40" t="s">
        <v>14</v>
      </c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53">
        <v>0.43771428571428572</v>
      </c>
      <c r="W135" s="40"/>
      <c r="X135" s="30" t="s">
        <v>13</v>
      </c>
      <c r="Y135" s="40"/>
      <c r="Z135" s="40"/>
      <c r="AA135" s="40"/>
      <c r="AB135" s="40"/>
      <c r="AC135" s="40"/>
      <c r="AD135" s="40"/>
      <c r="AE135" s="40"/>
      <c r="AF135" s="40"/>
    </row>
    <row r="136" spans="1:32" x14ac:dyDescent="0.35">
      <c r="A136" s="38">
        <v>1100051</v>
      </c>
      <c r="B136" s="39" t="s">
        <v>207</v>
      </c>
      <c r="C136" s="40"/>
      <c r="D136" s="40"/>
      <c r="E136" s="40"/>
      <c r="F136" s="40"/>
      <c r="G136" s="40"/>
      <c r="H136" s="40"/>
      <c r="I136" s="40" t="s">
        <v>14</v>
      </c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53">
        <v>0.58811764705882352</v>
      </c>
      <c r="W136" s="40"/>
      <c r="X136" s="30" t="s">
        <v>13</v>
      </c>
      <c r="Y136" s="40"/>
      <c r="Z136" s="40"/>
      <c r="AA136" s="40"/>
      <c r="AB136" s="40"/>
      <c r="AC136" s="40"/>
      <c r="AD136" s="40"/>
      <c r="AE136" s="40"/>
      <c r="AF136" s="40"/>
    </row>
    <row r="137" spans="1:32" hidden="1" x14ac:dyDescent="0.35">
      <c r="A137" s="30">
        <v>1014827</v>
      </c>
      <c r="B137" s="30" t="s">
        <v>237</v>
      </c>
      <c r="C137" s="30" t="s">
        <v>12</v>
      </c>
      <c r="D137" s="30" t="s">
        <v>513</v>
      </c>
      <c r="E137" s="30" t="s">
        <v>517</v>
      </c>
      <c r="F137" s="30" t="s">
        <v>385</v>
      </c>
      <c r="G137" s="30" t="s">
        <v>392</v>
      </c>
      <c r="H137" s="30" t="s">
        <v>393</v>
      </c>
      <c r="I137" s="30" t="s">
        <v>413</v>
      </c>
      <c r="J137" s="30" t="s">
        <v>387</v>
      </c>
      <c r="K137" s="30" t="s">
        <v>387</v>
      </c>
      <c r="L137" s="30">
        <v>100</v>
      </c>
      <c r="M137" s="30">
        <v>1200</v>
      </c>
      <c r="N137" s="31">
        <v>1.2195121951219513E-2</v>
      </c>
      <c r="O137" s="32">
        <f>(L137/100)*M137*N137*(20*AE137)</f>
        <v>2634.146341463415</v>
      </c>
      <c r="P137" s="33">
        <v>824208</v>
      </c>
      <c r="Q137" s="33">
        <v>300000</v>
      </c>
      <c r="R137" s="33">
        <f>IFERROR(P137*(L137/100),"-")</f>
        <v>824208</v>
      </c>
      <c r="S137" s="33">
        <f>IFERROR(Q137*(L137/100),"-")</f>
        <v>300000</v>
      </c>
      <c r="T137" s="32">
        <f>IFERROR((R137+S137)/(86*12),"-")</f>
        <v>1089.3488372093022</v>
      </c>
      <c r="U137" s="32">
        <f>O137-T137</f>
        <v>1544.7975042541127</v>
      </c>
      <c r="V137" s="34">
        <f>U137/O137</f>
        <v>0.58645090439276493</v>
      </c>
      <c r="W137" s="30" t="s">
        <v>414</v>
      </c>
      <c r="X137" s="30" t="s">
        <v>60</v>
      </c>
      <c r="Y137" s="30" t="s">
        <v>385</v>
      </c>
      <c r="Z137" s="30" t="s">
        <v>389</v>
      </c>
      <c r="AA137" s="30" t="s">
        <v>390</v>
      </c>
      <c r="AB137" s="30" t="s">
        <v>391</v>
      </c>
      <c r="AC137" s="30" t="s">
        <v>392</v>
      </c>
      <c r="AD137" s="30" t="s">
        <v>393</v>
      </c>
      <c r="AE137" s="30">
        <v>9</v>
      </c>
      <c r="AF137" s="30" t="s">
        <v>394</v>
      </c>
    </row>
    <row r="138" spans="1:32" hidden="1" x14ac:dyDescent="0.35">
      <c r="A138" s="30">
        <v>1016671</v>
      </c>
      <c r="B138" s="30" t="s">
        <v>419</v>
      </c>
      <c r="C138" s="30" t="s">
        <v>12</v>
      </c>
      <c r="D138" s="30" t="s">
        <v>513</v>
      </c>
      <c r="E138" s="30" t="s">
        <v>517</v>
      </c>
      <c r="F138" s="30" t="s">
        <v>385</v>
      </c>
      <c r="G138" s="30" t="s">
        <v>392</v>
      </c>
      <c r="H138" s="30" t="s">
        <v>393</v>
      </c>
      <c r="I138" s="30" t="s">
        <v>77</v>
      </c>
      <c r="J138" s="30" t="s">
        <v>387</v>
      </c>
      <c r="K138" s="30" t="s">
        <v>387</v>
      </c>
      <c r="L138" s="30">
        <v>100</v>
      </c>
      <c r="M138" s="30">
        <v>1200</v>
      </c>
      <c r="N138" s="31">
        <v>1.2195121951219513E-2</v>
      </c>
      <c r="O138" s="32">
        <f>(L138/100)*M138*N138*(20*AE138)</f>
        <v>2634.146341463415</v>
      </c>
      <c r="P138" s="33">
        <v>909504</v>
      </c>
      <c r="Q138" s="33">
        <v>300000</v>
      </c>
      <c r="R138" s="33">
        <f>IFERROR(P138*(L138/100),"-")</f>
        <v>909504</v>
      </c>
      <c r="S138" s="33">
        <f>IFERROR(Q138*(L138/100),"-")</f>
        <v>300000</v>
      </c>
      <c r="T138" s="32">
        <f>IFERROR((R138+S138)/(86*12),"-")</f>
        <v>1172</v>
      </c>
      <c r="U138" s="32">
        <f>O138-T138</f>
        <v>1462.146341463415</v>
      </c>
      <c r="V138" s="34">
        <f>U138/O138</f>
        <v>0.55507407407407416</v>
      </c>
      <c r="W138" s="30" t="s">
        <v>414</v>
      </c>
      <c r="X138" s="30" t="s">
        <v>60</v>
      </c>
      <c r="Y138" s="30" t="s">
        <v>385</v>
      </c>
      <c r="Z138" s="30" t="s">
        <v>389</v>
      </c>
      <c r="AA138" s="30" t="s">
        <v>390</v>
      </c>
      <c r="AB138" s="30" t="s">
        <v>391</v>
      </c>
      <c r="AC138" s="30" t="s">
        <v>392</v>
      </c>
      <c r="AD138" s="30" t="s">
        <v>393</v>
      </c>
      <c r="AE138" s="30">
        <v>9</v>
      </c>
      <c r="AF138" s="30" t="s">
        <v>394</v>
      </c>
    </row>
    <row r="139" spans="1:32" hidden="1" x14ac:dyDescent="0.35">
      <c r="A139" s="30">
        <v>1010368</v>
      </c>
      <c r="B139" s="30" t="s">
        <v>59</v>
      </c>
      <c r="C139" s="30" t="s">
        <v>12</v>
      </c>
      <c r="D139" s="30" t="s">
        <v>513</v>
      </c>
      <c r="E139" s="30" t="s">
        <v>525</v>
      </c>
      <c r="F139" s="30" t="s">
        <v>385</v>
      </c>
      <c r="G139" s="30" t="s">
        <v>392</v>
      </c>
      <c r="H139" s="30" t="s">
        <v>526</v>
      </c>
      <c r="I139" s="30" t="s">
        <v>62</v>
      </c>
      <c r="J139" s="30" t="s">
        <v>387</v>
      </c>
      <c r="K139" s="30" t="s">
        <v>387</v>
      </c>
      <c r="L139" s="30">
        <v>100</v>
      </c>
      <c r="M139" s="30">
        <v>1800</v>
      </c>
      <c r="N139" s="31">
        <v>1.2195121951219513E-2</v>
      </c>
      <c r="O139" s="32">
        <f>(L139/100)*M139*N139*(20*AE139)</f>
        <v>3951.2195121951222</v>
      </c>
      <c r="P139" s="33">
        <v>1732104</v>
      </c>
      <c r="Q139" s="33">
        <v>300000</v>
      </c>
      <c r="R139" s="33">
        <f>IFERROR(P139*(L139/100),"-")</f>
        <v>1732104</v>
      </c>
      <c r="S139" s="33">
        <f>IFERROR(Q139*(L139/100),"-")</f>
        <v>300000</v>
      </c>
      <c r="T139" s="32">
        <f>IFERROR((R139+S139)/(86*12),"-")</f>
        <v>1969.0930232558139</v>
      </c>
      <c r="U139" s="32">
        <f>O139-T139</f>
        <v>1982.1264889393083</v>
      </c>
      <c r="V139" s="34">
        <f>U139/O139</f>
        <v>0.50164929658340518</v>
      </c>
      <c r="W139" s="30" t="s">
        <v>414</v>
      </c>
      <c r="X139" s="30" t="s">
        <v>60</v>
      </c>
      <c r="Y139" s="30" t="s">
        <v>385</v>
      </c>
      <c r="Z139" s="30" t="s">
        <v>389</v>
      </c>
      <c r="AA139" s="30" t="s">
        <v>390</v>
      </c>
      <c r="AB139" s="30" t="s">
        <v>391</v>
      </c>
      <c r="AC139" s="30" t="s">
        <v>392</v>
      </c>
      <c r="AD139" s="30" t="s">
        <v>393</v>
      </c>
      <c r="AE139" s="30">
        <v>9</v>
      </c>
      <c r="AF139" s="30" t="s">
        <v>394</v>
      </c>
    </row>
    <row r="140" spans="1:32" hidden="1" x14ac:dyDescent="0.35">
      <c r="A140" s="30">
        <v>1010804</v>
      </c>
      <c r="B140" s="30" t="s">
        <v>70</v>
      </c>
      <c r="C140" s="30" t="s">
        <v>12</v>
      </c>
      <c r="D140" s="30" t="s">
        <v>513</v>
      </c>
      <c r="E140" s="30" t="s">
        <v>516</v>
      </c>
      <c r="F140" s="30" t="s">
        <v>385</v>
      </c>
      <c r="G140" s="30" t="s">
        <v>392</v>
      </c>
      <c r="H140" s="30" t="s">
        <v>526</v>
      </c>
      <c r="I140" s="30" t="s">
        <v>62</v>
      </c>
      <c r="J140" s="30" t="s">
        <v>387</v>
      </c>
      <c r="K140" s="30" t="s">
        <v>387</v>
      </c>
      <c r="L140" s="30">
        <v>100</v>
      </c>
      <c r="M140" s="30">
        <v>1800</v>
      </c>
      <c r="N140" s="31">
        <v>1.2195121951219513E-2</v>
      </c>
      <c r="O140" s="32">
        <f>(L140/100)*M140*N140*(20*AE140)</f>
        <v>3951.2195121951222</v>
      </c>
      <c r="P140" s="33">
        <v>1795500</v>
      </c>
      <c r="Q140" s="33">
        <v>300000</v>
      </c>
      <c r="R140" s="33">
        <f>IFERROR(P140*(L140/100),"-")</f>
        <v>1795500</v>
      </c>
      <c r="S140" s="33">
        <f>IFERROR(Q140*(L140/100),"-")</f>
        <v>300000</v>
      </c>
      <c r="T140" s="32">
        <f>IFERROR((R140+S140)/(86*12),"-")</f>
        <v>2030.5232558139535</v>
      </c>
      <c r="U140" s="32">
        <f>O140-T140</f>
        <v>1920.6962563811687</v>
      </c>
      <c r="V140" s="34">
        <f>U140/O140</f>
        <v>0.48610213896066612</v>
      </c>
      <c r="W140" s="30" t="s">
        <v>414</v>
      </c>
      <c r="X140" s="30" t="s">
        <v>60</v>
      </c>
      <c r="Y140" s="30" t="s">
        <v>385</v>
      </c>
      <c r="Z140" s="30" t="s">
        <v>389</v>
      </c>
      <c r="AA140" s="30" t="s">
        <v>390</v>
      </c>
      <c r="AB140" s="30" t="s">
        <v>391</v>
      </c>
      <c r="AC140" s="30" t="s">
        <v>392</v>
      </c>
      <c r="AD140" s="30" t="s">
        <v>393</v>
      </c>
      <c r="AE140" s="30">
        <v>9</v>
      </c>
      <c r="AF140" s="30" t="s">
        <v>394</v>
      </c>
    </row>
    <row r="141" spans="1:32" hidden="1" x14ac:dyDescent="0.35">
      <c r="A141" s="30">
        <v>1017706</v>
      </c>
      <c r="B141" s="30" t="s">
        <v>215</v>
      </c>
      <c r="C141" s="30" t="s">
        <v>12</v>
      </c>
      <c r="D141" s="30" t="s">
        <v>513</v>
      </c>
      <c r="E141" s="30" t="s">
        <v>516</v>
      </c>
      <c r="F141" s="30" t="s">
        <v>385</v>
      </c>
      <c r="G141" s="30" t="s">
        <v>392</v>
      </c>
      <c r="H141" s="30" t="s">
        <v>393</v>
      </c>
      <c r="I141" s="30" t="s">
        <v>77</v>
      </c>
      <c r="J141" s="30" t="s">
        <v>387</v>
      </c>
      <c r="K141" s="30" t="s">
        <v>387</v>
      </c>
      <c r="L141" s="30">
        <v>100</v>
      </c>
      <c r="M141" s="30">
        <v>1700</v>
      </c>
      <c r="N141" s="31">
        <v>1.2195121951219513E-2</v>
      </c>
      <c r="O141" s="32">
        <f>(L141/100)*M141*N141*(20*AE141)</f>
        <v>3731.707317073171</v>
      </c>
      <c r="P141" s="33">
        <v>1800000</v>
      </c>
      <c r="Q141" s="33">
        <v>300000</v>
      </c>
      <c r="R141" s="33">
        <f>IFERROR(P141*(L141/100),"-")</f>
        <v>1800000</v>
      </c>
      <c r="S141" s="33">
        <f>IFERROR(Q141*(L141/100),"-")</f>
        <v>300000</v>
      </c>
      <c r="T141" s="32">
        <f>IFERROR((R141+S141)/(86*12),"-")</f>
        <v>2034.8837209302326</v>
      </c>
      <c r="U141" s="32">
        <f>O141-T141</f>
        <v>1696.8235961429384</v>
      </c>
      <c r="V141" s="34">
        <f>U141/O141</f>
        <v>0.45470436236510109</v>
      </c>
      <c r="W141" s="30" t="s">
        <v>414</v>
      </c>
      <c r="X141" s="30" t="s">
        <v>60</v>
      </c>
      <c r="Y141" s="30" t="s">
        <v>385</v>
      </c>
      <c r="Z141" s="30" t="s">
        <v>389</v>
      </c>
      <c r="AA141" s="30" t="s">
        <v>390</v>
      </c>
      <c r="AB141" s="30" t="s">
        <v>391</v>
      </c>
      <c r="AC141" s="30" t="s">
        <v>392</v>
      </c>
      <c r="AD141" s="30" t="s">
        <v>393</v>
      </c>
      <c r="AE141" s="30">
        <v>9</v>
      </c>
      <c r="AF141" s="30" t="s">
        <v>394</v>
      </c>
    </row>
    <row r="142" spans="1:32" hidden="1" x14ac:dyDescent="0.35">
      <c r="A142" s="30">
        <v>1017512</v>
      </c>
      <c r="B142" s="30" t="s">
        <v>487</v>
      </c>
      <c r="C142" s="30" t="s">
        <v>12</v>
      </c>
      <c r="D142" s="30" t="s">
        <v>513</v>
      </c>
      <c r="E142" s="30" t="s">
        <v>529</v>
      </c>
      <c r="F142" s="30" t="s">
        <v>385</v>
      </c>
      <c r="G142" s="30" t="s">
        <v>392</v>
      </c>
      <c r="H142" s="30" t="s">
        <v>393</v>
      </c>
      <c r="I142" s="30" t="s">
        <v>77</v>
      </c>
      <c r="J142" s="30" t="s">
        <v>387</v>
      </c>
      <c r="K142" s="30" t="s">
        <v>387</v>
      </c>
      <c r="L142" s="30">
        <v>100</v>
      </c>
      <c r="M142" s="30">
        <v>1800</v>
      </c>
      <c r="N142" s="31">
        <v>1.2195121951219513E-2</v>
      </c>
      <c r="O142" s="32">
        <f>(L142/100)*M142*N142*(20*AE142)</f>
        <v>3951.2195121951222</v>
      </c>
      <c r="P142" s="33">
        <v>1899904</v>
      </c>
      <c r="Q142" s="33">
        <v>300000</v>
      </c>
      <c r="R142" s="33">
        <f>IFERROR(P142*(L142/100),"-")</f>
        <v>1899904</v>
      </c>
      <c r="S142" s="33">
        <f>IFERROR(Q142*(L142/100),"-")</f>
        <v>300000</v>
      </c>
      <c r="T142" s="32">
        <f>IFERROR((R142+S142)/(86*12),"-")</f>
        <v>2131.6899224806202</v>
      </c>
      <c r="U142" s="32">
        <f>O142-T142</f>
        <v>1819.529589714502</v>
      </c>
      <c r="V142" s="34">
        <f>U142/O142</f>
        <v>0.46049822949564551</v>
      </c>
      <c r="W142" s="30" t="s">
        <v>414</v>
      </c>
      <c r="X142" s="30" t="s">
        <v>60</v>
      </c>
      <c r="Y142" s="30" t="s">
        <v>385</v>
      </c>
      <c r="Z142" s="30" t="s">
        <v>389</v>
      </c>
      <c r="AA142" s="30" t="s">
        <v>390</v>
      </c>
      <c r="AB142" s="30" t="s">
        <v>391</v>
      </c>
      <c r="AC142" s="30" t="s">
        <v>392</v>
      </c>
      <c r="AD142" s="30" t="s">
        <v>393</v>
      </c>
      <c r="AE142" s="30">
        <v>9</v>
      </c>
      <c r="AF142" s="30" t="s">
        <v>394</v>
      </c>
    </row>
    <row r="143" spans="1:32" hidden="1" x14ac:dyDescent="0.35">
      <c r="A143" s="30">
        <v>1013920</v>
      </c>
      <c r="B143" s="30" t="s">
        <v>350</v>
      </c>
      <c r="C143" s="30" t="s">
        <v>12</v>
      </c>
      <c r="D143" s="30" t="s">
        <v>513</v>
      </c>
      <c r="E143" s="30" t="s">
        <v>529</v>
      </c>
      <c r="F143" s="30" t="s">
        <v>385</v>
      </c>
      <c r="G143" s="30" t="s">
        <v>392</v>
      </c>
      <c r="H143" s="30" t="s">
        <v>393</v>
      </c>
      <c r="I143" s="30" t="s">
        <v>77</v>
      </c>
      <c r="J143" s="30" t="s">
        <v>387</v>
      </c>
      <c r="K143" s="30" t="s">
        <v>387</v>
      </c>
      <c r="L143" s="30">
        <v>100</v>
      </c>
      <c r="M143" s="30">
        <v>2100</v>
      </c>
      <c r="N143" s="31">
        <v>1.2195121951219513E-2</v>
      </c>
      <c r="O143" s="32">
        <f>(L143/100)*M143*N143*(20*AE143)</f>
        <v>4609.7560975609758</v>
      </c>
      <c r="P143" s="33">
        <v>2110700</v>
      </c>
      <c r="Q143" s="33">
        <v>300000</v>
      </c>
      <c r="R143" s="33">
        <f>IFERROR(P143*(L143/100),"-")</f>
        <v>2110700</v>
      </c>
      <c r="S143" s="33">
        <f>IFERROR(Q143*(L143/100),"-")</f>
        <v>300000</v>
      </c>
      <c r="T143" s="32">
        <f>IFERROR((R143+S143)/(86*12),"-")</f>
        <v>2335.9496124031007</v>
      </c>
      <c r="U143" s="32">
        <f>O143-T143</f>
        <v>2273.8064851578752</v>
      </c>
      <c r="V143" s="34">
        <f>U143/O143</f>
        <v>0.49325960789139089</v>
      </c>
      <c r="W143" s="30" t="s">
        <v>414</v>
      </c>
      <c r="X143" s="30" t="s">
        <v>60</v>
      </c>
      <c r="Y143" s="30" t="s">
        <v>385</v>
      </c>
      <c r="Z143" s="30" t="s">
        <v>389</v>
      </c>
      <c r="AA143" s="30" t="s">
        <v>390</v>
      </c>
      <c r="AB143" s="30" t="s">
        <v>391</v>
      </c>
      <c r="AC143" s="30" t="s">
        <v>392</v>
      </c>
      <c r="AD143" s="30" t="s">
        <v>393</v>
      </c>
      <c r="AE143" s="30">
        <v>9</v>
      </c>
      <c r="AF143" s="30" t="s">
        <v>394</v>
      </c>
    </row>
    <row r="144" spans="1:32" hidden="1" x14ac:dyDescent="0.35">
      <c r="A144" s="30">
        <v>1010965</v>
      </c>
      <c r="B144" s="30" t="s">
        <v>78</v>
      </c>
      <c r="C144" s="30" t="s">
        <v>12</v>
      </c>
      <c r="D144" s="30" t="s">
        <v>513</v>
      </c>
      <c r="E144" s="30" t="s">
        <v>532</v>
      </c>
      <c r="F144" s="30" t="s">
        <v>385</v>
      </c>
      <c r="G144" s="30" t="s">
        <v>392</v>
      </c>
      <c r="H144" s="30" t="s">
        <v>393</v>
      </c>
      <c r="I144" s="30" t="s">
        <v>77</v>
      </c>
      <c r="J144" s="30" t="s">
        <v>387</v>
      </c>
      <c r="K144" s="30" t="s">
        <v>387</v>
      </c>
      <c r="L144" s="30">
        <v>100</v>
      </c>
      <c r="M144" s="30">
        <v>2100</v>
      </c>
      <c r="N144" s="31">
        <v>1.2195121951219513E-2</v>
      </c>
      <c r="O144" s="32">
        <f>(L144/100)*M144*N144*(20*AE144)</f>
        <v>4609.7560975609758</v>
      </c>
      <c r="P144" s="33">
        <v>2693900</v>
      </c>
      <c r="Q144" s="33">
        <v>300000</v>
      </c>
      <c r="R144" s="33">
        <f>IFERROR(P144*(L144/100),"-")</f>
        <v>2693900</v>
      </c>
      <c r="S144" s="33">
        <f>IFERROR(Q144*(L144/100),"-")</f>
        <v>300000</v>
      </c>
      <c r="T144" s="32">
        <f>IFERROR((R144+S144)/(86*12),"-")</f>
        <v>2901.0658914728683</v>
      </c>
      <c r="U144" s="32">
        <f>O144-T144</f>
        <v>1708.6902060881075</v>
      </c>
      <c r="V144" s="34">
        <f>U144/O144</f>
        <v>0.37066824576514501</v>
      </c>
      <c r="W144" s="30" t="s">
        <v>414</v>
      </c>
      <c r="X144" s="30" t="s">
        <v>60</v>
      </c>
      <c r="Y144" s="30" t="s">
        <v>385</v>
      </c>
      <c r="Z144" s="30" t="s">
        <v>389</v>
      </c>
      <c r="AA144" s="30" t="s">
        <v>390</v>
      </c>
      <c r="AB144" s="30" t="s">
        <v>391</v>
      </c>
      <c r="AC144" s="30" t="s">
        <v>392</v>
      </c>
      <c r="AD144" s="30" t="s">
        <v>393</v>
      </c>
      <c r="AE144" s="30">
        <v>9</v>
      </c>
      <c r="AF144" s="30" t="s">
        <v>394</v>
      </c>
    </row>
    <row r="145" spans="1:32" hidden="1" x14ac:dyDescent="0.35">
      <c r="A145" s="30">
        <v>1011045</v>
      </c>
      <c r="B145" s="30" t="s">
        <v>503</v>
      </c>
      <c r="C145" s="30" t="s">
        <v>12</v>
      </c>
      <c r="D145" s="30" t="s">
        <v>513</v>
      </c>
      <c r="E145" s="30" t="s">
        <v>532</v>
      </c>
      <c r="F145" s="30" t="s">
        <v>385</v>
      </c>
      <c r="G145" s="30" t="s">
        <v>392</v>
      </c>
      <c r="H145" s="30" t="s">
        <v>393</v>
      </c>
      <c r="I145" s="30" t="s">
        <v>77</v>
      </c>
      <c r="J145" s="30" t="s">
        <v>387</v>
      </c>
      <c r="K145" s="30" t="s">
        <v>387</v>
      </c>
      <c r="L145" s="30">
        <v>100</v>
      </c>
      <c r="M145" s="30">
        <v>2100</v>
      </c>
      <c r="N145" s="31">
        <v>1.2195121951219513E-2</v>
      </c>
      <c r="O145" s="32">
        <f>(L145/100)*M145*N145*(20*AE145)</f>
        <v>4609.7560975609758</v>
      </c>
      <c r="P145" s="33">
        <v>2861008</v>
      </c>
      <c r="Q145" s="33">
        <v>300000</v>
      </c>
      <c r="R145" s="33">
        <f>IFERROR(P145*(L145/100),"-")</f>
        <v>2861008</v>
      </c>
      <c r="S145" s="33">
        <f>IFERROR(Q145*(L145/100),"-")</f>
        <v>300000</v>
      </c>
      <c r="T145" s="32">
        <f>IFERROR((R145+S145)/(86*12),"-")</f>
        <v>3062.9922480620153</v>
      </c>
      <c r="U145" s="32">
        <f>O145-T145</f>
        <v>1546.7638494989606</v>
      </c>
      <c r="V145" s="34">
        <f>U145/O145</f>
        <v>0.33554136417702318</v>
      </c>
      <c r="W145" s="30" t="s">
        <v>414</v>
      </c>
      <c r="X145" s="30" t="s">
        <v>60</v>
      </c>
      <c r="Y145" s="30" t="s">
        <v>385</v>
      </c>
      <c r="Z145" s="30" t="s">
        <v>389</v>
      </c>
      <c r="AA145" s="30" t="s">
        <v>390</v>
      </c>
      <c r="AB145" s="30" t="s">
        <v>391</v>
      </c>
      <c r="AC145" s="30" t="s">
        <v>392</v>
      </c>
      <c r="AD145" s="30" t="s">
        <v>393</v>
      </c>
      <c r="AE145" s="30">
        <v>9</v>
      </c>
      <c r="AF145" s="30" t="s">
        <v>394</v>
      </c>
    </row>
    <row r="146" spans="1:32" x14ac:dyDescent="0.35">
      <c r="A146" s="38">
        <v>1012234</v>
      </c>
      <c r="B146" s="39" t="s">
        <v>331</v>
      </c>
      <c r="C146" s="40"/>
      <c r="D146" s="40"/>
      <c r="E146" s="40"/>
      <c r="F146" s="40"/>
      <c r="G146" s="40"/>
      <c r="H146" s="40"/>
      <c r="I146" s="40" t="s">
        <v>14</v>
      </c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53">
        <v>0.68608823529411767</v>
      </c>
      <c r="W146" s="40"/>
      <c r="X146" s="30" t="s">
        <v>60</v>
      </c>
      <c r="Y146" s="40"/>
      <c r="Z146" s="40"/>
      <c r="AA146" s="40"/>
      <c r="AB146" s="40"/>
      <c r="AC146" s="40"/>
      <c r="AD146" s="40"/>
      <c r="AE146" s="40"/>
      <c r="AF146" s="40"/>
    </row>
    <row r="147" spans="1:32" hidden="1" x14ac:dyDescent="0.35">
      <c r="A147" s="30">
        <v>1101133</v>
      </c>
      <c r="B147" s="30" t="s">
        <v>266</v>
      </c>
      <c r="C147" s="30" t="s">
        <v>12</v>
      </c>
      <c r="D147" s="30" t="s">
        <v>513</v>
      </c>
      <c r="E147" s="30" t="s">
        <v>516</v>
      </c>
      <c r="F147" s="30" t="s">
        <v>385</v>
      </c>
      <c r="G147" s="30" t="s">
        <v>392</v>
      </c>
      <c r="H147" s="30" t="s">
        <v>393</v>
      </c>
      <c r="I147" s="30" t="s">
        <v>77</v>
      </c>
      <c r="J147" s="30" t="s">
        <v>387</v>
      </c>
      <c r="K147" s="30" t="s">
        <v>387</v>
      </c>
      <c r="L147" s="30">
        <v>100</v>
      </c>
      <c r="M147" s="30">
        <v>1700</v>
      </c>
      <c r="N147" s="31">
        <v>1.2195121951219513E-2</v>
      </c>
      <c r="O147" s="32">
        <f>(L147/100)*M147*N147*(20*AE147)</f>
        <v>3731.707317073171</v>
      </c>
      <c r="P147" s="33">
        <v>1200000</v>
      </c>
      <c r="Q147" s="33">
        <v>300000</v>
      </c>
      <c r="R147" s="33">
        <f>IFERROR(P147*(L147/100),"-")</f>
        <v>1200000</v>
      </c>
      <c r="S147" s="33">
        <f>IFERROR(Q147*(L147/100),"-")</f>
        <v>300000</v>
      </c>
      <c r="T147" s="32">
        <f>IFERROR((R147+S147)/(86*12),"-")</f>
        <v>1453.4883720930231</v>
      </c>
      <c r="U147" s="32">
        <f>O147-T147</f>
        <v>2278.2189449801481</v>
      </c>
      <c r="V147" s="34">
        <f>U147/O147</f>
        <v>0.61050311597507234</v>
      </c>
      <c r="W147" s="30" t="s">
        <v>432</v>
      </c>
      <c r="X147" s="30" t="s">
        <v>165</v>
      </c>
      <c r="Y147" s="30" t="s">
        <v>385</v>
      </c>
      <c r="Z147" s="30" t="s">
        <v>389</v>
      </c>
      <c r="AA147" s="30" t="s">
        <v>390</v>
      </c>
      <c r="AB147" s="30" t="s">
        <v>391</v>
      </c>
      <c r="AC147" s="30" t="s">
        <v>392</v>
      </c>
      <c r="AD147" s="30" t="s">
        <v>393</v>
      </c>
      <c r="AE147" s="30">
        <v>9</v>
      </c>
      <c r="AF147" s="30" t="s">
        <v>394</v>
      </c>
    </row>
    <row r="148" spans="1:32" hidden="1" x14ac:dyDescent="0.35">
      <c r="A148" s="30">
        <v>1015842</v>
      </c>
      <c r="B148" s="30" t="s">
        <v>248</v>
      </c>
      <c r="C148" s="30" t="s">
        <v>12</v>
      </c>
      <c r="D148" s="30" t="s">
        <v>513</v>
      </c>
      <c r="E148" s="30" t="s">
        <v>516</v>
      </c>
      <c r="F148" s="30" t="s">
        <v>385</v>
      </c>
      <c r="G148" s="30" t="s">
        <v>392</v>
      </c>
      <c r="H148" s="30" t="s">
        <v>393</v>
      </c>
      <c r="I148" s="30" t="s">
        <v>77</v>
      </c>
      <c r="J148" s="30" t="s">
        <v>387</v>
      </c>
      <c r="K148" s="30" t="s">
        <v>387</v>
      </c>
      <c r="L148" s="30">
        <v>100</v>
      </c>
      <c r="M148" s="30">
        <v>1400</v>
      </c>
      <c r="N148" s="31">
        <v>1.2195121951219513E-2</v>
      </c>
      <c r="O148" s="32">
        <f>(L148/100)*M148*N148*(20*AE148)</f>
        <v>3073.1707317073174</v>
      </c>
      <c r="P148" s="33">
        <v>1350108</v>
      </c>
      <c r="Q148" s="33">
        <v>300000</v>
      </c>
      <c r="R148" s="33">
        <f>IFERROR(P148*(L148/100),"-")</f>
        <v>1350108</v>
      </c>
      <c r="S148" s="33">
        <f>IFERROR(Q148*(L148/100),"-")</f>
        <v>300000</v>
      </c>
      <c r="T148" s="32">
        <f>IFERROR((R148+S148)/(86*12),"-")</f>
        <v>1598.9418604651162</v>
      </c>
      <c r="U148" s="32">
        <f>O148-T148</f>
        <v>1474.2288712422012</v>
      </c>
      <c r="V148" s="34">
        <f>U148/O148</f>
        <v>0.4797093946105575</v>
      </c>
      <c r="W148" s="30" t="s">
        <v>432</v>
      </c>
      <c r="X148" s="30" t="s">
        <v>165</v>
      </c>
      <c r="Y148" s="30" t="s">
        <v>385</v>
      </c>
      <c r="Z148" s="30" t="s">
        <v>389</v>
      </c>
      <c r="AA148" s="30" t="s">
        <v>390</v>
      </c>
      <c r="AB148" s="30" t="s">
        <v>391</v>
      </c>
      <c r="AC148" s="30" t="s">
        <v>392</v>
      </c>
      <c r="AD148" s="30" t="s">
        <v>393</v>
      </c>
      <c r="AE148" s="30">
        <v>9</v>
      </c>
      <c r="AF148" s="30" t="s">
        <v>394</v>
      </c>
    </row>
    <row r="149" spans="1:32" hidden="1" x14ac:dyDescent="0.35">
      <c r="A149" s="30">
        <v>1013003</v>
      </c>
      <c r="B149" s="30" t="s">
        <v>214</v>
      </c>
      <c r="C149" s="30" t="s">
        <v>12</v>
      </c>
      <c r="D149" s="30" t="s">
        <v>513</v>
      </c>
      <c r="E149" s="30" t="s">
        <v>520</v>
      </c>
      <c r="F149" s="30" t="s">
        <v>385</v>
      </c>
      <c r="G149" s="30" t="s">
        <v>511</v>
      </c>
      <c r="H149" s="30" t="s">
        <v>521</v>
      </c>
      <c r="I149" s="30" t="s">
        <v>417</v>
      </c>
      <c r="J149" s="30" t="s">
        <v>387</v>
      </c>
      <c r="K149" s="30" t="s">
        <v>387</v>
      </c>
      <c r="L149" s="30">
        <v>100</v>
      </c>
      <c r="M149" s="30">
        <v>1700</v>
      </c>
      <c r="N149" s="31">
        <v>1.2195121951219513E-2</v>
      </c>
      <c r="O149" s="32">
        <f>(L149/100)*M149*N149*(20*AE149)</f>
        <v>3731.707317073171</v>
      </c>
      <c r="P149" s="33">
        <v>1500000</v>
      </c>
      <c r="Q149" s="33">
        <v>300000</v>
      </c>
      <c r="R149" s="33">
        <f>IFERROR(P149*(L149/100),"-")</f>
        <v>1500000</v>
      </c>
      <c r="S149" s="33">
        <f>IFERROR(Q149*(L149/100),"-")</f>
        <v>300000</v>
      </c>
      <c r="T149" s="32">
        <f>IFERROR((R149+S149)/(86*12),"-")</f>
        <v>1744.1860465116279</v>
      </c>
      <c r="U149" s="32">
        <f>O149-T149</f>
        <v>1987.5212705615431</v>
      </c>
      <c r="V149" s="34">
        <f>U149/O149</f>
        <v>0.53260373917008663</v>
      </c>
      <c r="W149" s="30" t="s">
        <v>432</v>
      </c>
      <c r="X149" s="30" t="s">
        <v>165</v>
      </c>
      <c r="Y149" s="30" t="s">
        <v>385</v>
      </c>
      <c r="Z149" s="30" t="s">
        <v>389</v>
      </c>
      <c r="AA149" s="30" t="s">
        <v>390</v>
      </c>
      <c r="AB149" s="30" t="s">
        <v>391</v>
      </c>
      <c r="AC149" s="30" t="s">
        <v>392</v>
      </c>
      <c r="AD149" s="30" t="s">
        <v>393</v>
      </c>
      <c r="AE149" s="30">
        <v>9</v>
      </c>
      <c r="AF149" s="30" t="s">
        <v>394</v>
      </c>
    </row>
    <row r="150" spans="1:32" x14ac:dyDescent="0.35">
      <c r="A150" s="38">
        <v>1012589</v>
      </c>
      <c r="B150" s="39" t="s">
        <v>203</v>
      </c>
      <c r="C150" s="40"/>
      <c r="D150" s="40"/>
      <c r="E150" s="40"/>
      <c r="F150" s="40"/>
      <c r="G150" s="40"/>
      <c r="H150" s="40"/>
      <c r="I150" s="40" t="s">
        <v>14</v>
      </c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53">
        <v>0.18699186991869918</v>
      </c>
      <c r="W150" s="40"/>
      <c r="X150" s="30" t="s">
        <v>165</v>
      </c>
      <c r="Y150" s="40"/>
      <c r="Z150" s="40"/>
      <c r="AA150" s="40"/>
      <c r="AB150" s="40"/>
      <c r="AC150" s="40"/>
      <c r="AD150" s="40"/>
      <c r="AE150" s="40"/>
      <c r="AF150" s="40"/>
    </row>
    <row r="151" spans="1:32" x14ac:dyDescent="0.35">
      <c r="A151" s="38">
        <v>1012968</v>
      </c>
      <c r="B151" s="39" t="s">
        <v>575</v>
      </c>
      <c r="C151" s="40"/>
      <c r="D151" s="40"/>
      <c r="E151" s="40"/>
      <c r="F151" s="40"/>
      <c r="G151" s="40"/>
      <c r="H151" s="40"/>
      <c r="I151" s="40" t="s">
        <v>14</v>
      </c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53">
        <v>0.54552777777777772</v>
      </c>
      <c r="W151" s="40"/>
      <c r="X151" s="30" t="s">
        <v>165</v>
      </c>
      <c r="Y151" s="40"/>
      <c r="Z151" s="40"/>
      <c r="AA151" s="40"/>
      <c r="AB151" s="40"/>
      <c r="AC151" s="40"/>
      <c r="AD151" s="40"/>
      <c r="AE151" s="40"/>
      <c r="AF151" s="40"/>
    </row>
    <row r="152" spans="1:32" x14ac:dyDescent="0.35">
      <c r="A152" s="38">
        <v>1601627</v>
      </c>
      <c r="B152" s="45" t="s">
        <v>585</v>
      </c>
      <c r="C152" s="40"/>
      <c r="D152" s="40"/>
      <c r="E152" s="40"/>
      <c r="F152" s="40"/>
      <c r="G152" s="40"/>
      <c r="H152" s="40"/>
      <c r="I152" s="40" t="s">
        <v>14</v>
      </c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53">
        <v>0.30158730158730157</v>
      </c>
      <c r="W152" s="40"/>
      <c r="X152" s="30" t="s">
        <v>165</v>
      </c>
      <c r="Y152" s="40"/>
      <c r="Z152" s="40"/>
      <c r="AA152" s="40"/>
      <c r="AB152" s="40"/>
      <c r="AC152" s="40"/>
      <c r="AD152" s="40"/>
      <c r="AE152" s="40"/>
      <c r="AF152" s="40"/>
    </row>
    <row r="153" spans="1:32" x14ac:dyDescent="0.35">
      <c r="A153" s="38">
        <v>1102132</v>
      </c>
      <c r="B153" s="39" t="s">
        <v>599</v>
      </c>
      <c r="C153" s="40"/>
      <c r="D153" s="40"/>
      <c r="E153" s="40"/>
      <c r="F153" s="40"/>
      <c r="G153" s="40"/>
      <c r="H153" s="40"/>
      <c r="I153" s="40" t="s">
        <v>14</v>
      </c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53">
        <v>0.5892857142857143</v>
      </c>
      <c r="W153" s="40"/>
      <c r="X153" s="30" t="s">
        <v>165</v>
      </c>
      <c r="Y153" s="40"/>
      <c r="Z153" s="40"/>
      <c r="AA153" s="40"/>
      <c r="AB153" s="40"/>
      <c r="AC153" s="40"/>
      <c r="AD153" s="40"/>
      <c r="AE153" s="40"/>
      <c r="AF153" s="40"/>
    </row>
    <row r="154" spans="1:32" hidden="1" x14ac:dyDescent="0.35">
      <c r="A154" s="30">
        <v>1014287</v>
      </c>
      <c r="B154" s="30" t="s">
        <v>137</v>
      </c>
      <c r="C154" s="30" t="s">
        <v>12</v>
      </c>
      <c r="D154" s="30" t="s">
        <v>513</v>
      </c>
      <c r="E154" s="30" t="s">
        <v>516</v>
      </c>
      <c r="F154" s="30" t="s">
        <v>408</v>
      </c>
      <c r="G154" s="30" t="s">
        <v>392</v>
      </c>
      <c r="H154" s="30" t="s">
        <v>393</v>
      </c>
      <c r="I154" s="30" t="s">
        <v>77</v>
      </c>
      <c r="J154" s="30" t="s">
        <v>387</v>
      </c>
      <c r="K154" s="30" t="s">
        <v>387</v>
      </c>
      <c r="L154" s="30">
        <v>100</v>
      </c>
      <c r="M154" s="30">
        <v>1700</v>
      </c>
      <c r="N154" s="31">
        <v>1.2195121951219513E-2</v>
      </c>
      <c r="O154" s="32">
        <f>(L154/100)*M154*N154*(20*AE154)</f>
        <v>3731.707317073171</v>
      </c>
      <c r="P154" s="33">
        <v>1212600</v>
      </c>
      <c r="Q154" s="33">
        <v>300000</v>
      </c>
      <c r="R154" s="33">
        <f>IFERROR(P154*(L154/100),"-")</f>
        <v>1212600</v>
      </c>
      <c r="S154" s="33">
        <f>IFERROR(Q154*(L154/100),"-")</f>
        <v>300000</v>
      </c>
      <c r="T154" s="32">
        <f>IFERROR((R154+S154)/(86*12),"-")</f>
        <v>1465.6976744186047</v>
      </c>
      <c r="U154" s="32">
        <f>O154-T154</f>
        <v>2266.0096426545661</v>
      </c>
      <c r="V154" s="34">
        <f>U154/O154</f>
        <v>0.60723134214926278</v>
      </c>
      <c r="W154" s="30" t="s">
        <v>436</v>
      </c>
      <c r="X154" s="30" t="s">
        <v>138</v>
      </c>
      <c r="Y154" s="30" t="s">
        <v>396</v>
      </c>
      <c r="Z154" s="30" t="s">
        <v>389</v>
      </c>
      <c r="AA154" s="30" t="s">
        <v>390</v>
      </c>
      <c r="AB154" s="30" t="s">
        <v>391</v>
      </c>
      <c r="AC154" s="30" t="s">
        <v>392</v>
      </c>
      <c r="AD154" s="30" t="s">
        <v>393</v>
      </c>
      <c r="AE154" s="30">
        <v>9</v>
      </c>
      <c r="AF154" s="30" t="s">
        <v>394</v>
      </c>
    </row>
    <row r="155" spans="1:32" hidden="1" x14ac:dyDescent="0.35">
      <c r="A155" s="30">
        <v>1001573</v>
      </c>
      <c r="B155" s="30" t="s">
        <v>293</v>
      </c>
      <c r="C155" s="30" t="s">
        <v>12</v>
      </c>
      <c r="D155" s="30" t="s">
        <v>513</v>
      </c>
      <c r="E155" s="30" t="s">
        <v>532</v>
      </c>
      <c r="F155" s="30" t="s">
        <v>408</v>
      </c>
      <c r="G155" s="30" t="s">
        <v>392</v>
      </c>
      <c r="H155" s="30" t="s">
        <v>393</v>
      </c>
      <c r="I155" s="30" t="s">
        <v>77</v>
      </c>
      <c r="J155" s="30" t="s">
        <v>387</v>
      </c>
      <c r="K155" s="30" t="s">
        <v>387</v>
      </c>
      <c r="L155" s="30">
        <v>100</v>
      </c>
      <c r="M155" s="30">
        <v>2300</v>
      </c>
      <c r="N155" s="31">
        <v>1.2195121951219513E-2</v>
      </c>
      <c r="O155" s="32">
        <f>(L155/100)*M155*N155*(20*AE155)</f>
        <v>5048.7804878048782</v>
      </c>
      <c r="P155" s="33">
        <v>1800204</v>
      </c>
      <c r="Q155" s="33">
        <v>300000</v>
      </c>
      <c r="R155" s="33">
        <f>IFERROR(P155*(L155/100),"-")</f>
        <v>1800204</v>
      </c>
      <c r="S155" s="33">
        <f>IFERROR(Q155*(L155/100),"-")</f>
        <v>300000</v>
      </c>
      <c r="T155" s="32">
        <f>IFERROR((R155+S155)/(86*12),"-")</f>
        <v>2035.0813953488373</v>
      </c>
      <c r="U155" s="32">
        <f>O155-T155</f>
        <v>3013.6990924560409</v>
      </c>
      <c r="V155" s="34">
        <f>U155/O155</f>
        <v>0.59691624536568921</v>
      </c>
      <c r="W155" s="30" t="s">
        <v>436</v>
      </c>
      <c r="X155" s="30" t="s">
        <v>138</v>
      </c>
      <c r="Y155" s="30" t="s">
        <v>396</v>
      </c>
      <c r="Z155" s="30" t="s">
        <v>389</v>
      </c>
      <c r="AA155" s="30" t="s">
        <v>390</v>
      </c>
      <c r="AB155" s="30" t="s">
        <v>391</v>
      </c>
      <c r="AC155" s="30" t="s">
        <v>392</v>
      </c>
      <c r="AD155" s="30" t="s">
        <v>393</v>
      </c>
      <c r="AE155" s="30">
        <v>9</v>
      </c>
      <c r="AF155" s="30" t="s">
        <v>394</v>
      </c>
    </row>
    <row r="156" spans="1:32" hidden="1" x14ac:dyDescent="0.35">
      <c r="A156" s="30">
        <v>1008483</v>
      </c>
      <c r="B156" s="30" t="s">
        <v>488</v>
      </c>
      <c r="C156" s="30" t="s">
        <v>12</v>
      </c>
      <c r="D156" s="30" t="s">
        <v>513</v>
      </c>
      <c r="E156" s="30" t="s">
        <v>516</v>
      </c>
      <c r="F156" s="30" t="s">
        <v>408</v>
      </c>
      <c r="G156" s="30" t="s">
        <v>392</v>
      </c>
      <c r="H156" s="30" t="s">
        <v>393</v>
      </c>
      <c r="I156" s="30" t="s">
        <v>77</v>
      </c>
      <c r="J156" s="30" t="s">
        <v>387</v>
      </c>
      <c r="K156" s="30" t="s">
        <v>387</v>
      </c>
      <c r="L156" s="30">
        <v>100</v>
      </c>
      <c r="M156" s="30">
        <v>1800</v>
      </c>
      <c r="N156" s="31">
        <v>1.2195121951219513E-2</v>
      </c>
      <c r="O156" s="32">
        <f>(L156/100)*M156*N156*(20*AE156)</f>
        <v>3951.2195121951222</v>
      </c>
      <c r="P156" s="33">
        <v>1900008</v>
      </c>
      <c r="Q156" s="33">
        <v>300000</v>
      </c>
      <c r="R156" s="33">
        <f>IFERROR(P156*(L156/100),"-")</f>
        <v>1900008</v>
      </c>
      <c r="S156" s="33">
        <f>IFERROR(Q156*(L156/100),"-")</f>
        <v>300000</v>
      </c>
      <c r="T156" s="32">
        <f>IFERROR((R156+S156)/(86*12),"-")</f>
        <v>2131.7906976744184</v>
      </c>
      <c r="U156" s="32">
        <f>O156-T156</f>
        <v>1819.4288145207038</v>
      </c>
      <c r="V156" s="34">
        <f>U156/O156</f>
        <v>0.46047272466264721</v>
      </c>
      <c r="W156" s="30" t="s">
        <v>436</v>
      </c>
      <c r="X156" s="30" t="s">
        <v>138</v>
      </c>
      <c r="Y156" s="30" t="s">
        <v>396</v>
      </c>
      <c r="Z156" s="30" t="s">
        <v>389</v>
      </c>
      <c r="AA156" s="30" t="s">
        <v>390</v>
      </c>
      <c r="AB156" s="30" t="s">
        <v>391</v>
      </c>
      <c r="AC156" s="30" t="s">
        <v>392</v>
      </c>
      <c r="AD156" s="30" t="s">
        <v>393</v>
      </c>
      <c r="AE156" s="30">
        <v>9</v>
      </c>
      <c r="AF156" s="30" t="s">
        <v>394</v>
      </c>
    </row>
    <row r="157" spans="1:32" hidden="1" x14ac:dyDescent="0.35">
      <c r="A157" s="30">
        <v>1101180</v>
      </c>
      <c r="B157" s="30" t="s">
        <v>421</v>
      </c>
      <c r="C157" s="30" t="s">
        <v>12</v>
      </c>
      <c r="D157" s="30" t="s">
        <v>513</v>
      </c>
      <c r="E157" s="30" t="s">
        <v>516</v>
      </c>
      <c r="F157" s="30" t="s">
        <v>396</v>
      </c>
      <c r="G157" s="30" t="s">
        <v>392</v>
      </c>
      <c r="H157" s="30" t="s">
        <v>393</v>
      </c>
      <c r="I157" s="30" t="s">
        <v>77</v>
      </c>
      <c r="J157" s="30" t="s">
        <v>387</v>
      </c>
      <c r="K157" s="30" t="s">
        <v>387</v>
      </c>
      <c r="L157" s="30">
        <v>100</v>
      </c>
      <c r="M157" s="30">
        <v>1700</v>
      </c>
      <c r="N157" s="31">
        <v>1.2195121951219513E-2</v>
      </c>
      <c r="O157" s="32">
        <f>(L157/100)*M157*N157*(20*AE157)</f>
        <v>3731.707317073171</v>
      </c>
      <c r="P157" s="33">
        <v>1000008</v>
      </c>
      <c r="Q157" s="33">
        <v>300000</v>
      </c>
      <c r="R157" s="33">
        <f>IFERROR(P157*(L157/100),"-")</f>
        <v>1000008</v>
      </c>
      <c r="S157" s="33">
        <f>IFERROR(Q157*(L157/100),"-")</f>
        <v>300000</v>
      </c>
      <c r="T157" s="32">
        <f>IFERROR((R157+S157)/(86*12),"-")</f>
        <v>1259.6976744186047</v>
      </c>
      <c r="U157" s="32">
        <f>O157-T157</f>
        <v>2472.0096426545661</v>
      </c>
      <c r="V157" s="34">
        <f>U157/O157</f>
        <v>0.66243395652834769</v>
      </c>
      <c r="W157" s="30" t="s">
        <v>422</v>
      </c>
      <c r="X157" s="30" t="s">
        <v>23</v>
      </c>
      <c r="Y157" s="30" t="s">
        <v>396</v>
      </c>
      <c r="Z157" s="30" t="s">
        <v>389</v>
      </c>
      <c r="AA157" s="30" t="s">
        <v>390</v>
      </c>
      <c r="AB157" s="30" t="s">
        <v>391</v>
      </c>
      <c r="AC157" s="30" t="s">
        <v>392</v>
      </c>
      <c r="AD157" s="30" t="s">
        <v>393</v>
      </c>
      <c r="AE157" s="30">
        <v>9</v>
      </c>
      <c r="AF157" s="30" t="s">
        <v>394</v>
      </c>
    </row>
    <row r="158" spans="1:32" hidden="1" x14ac:dyDescent="0.35">
      <c r="A158" s="30">
        <v>1010304</v>
      </c>
      <c r="B158" s="30" t="s">
        <v>66</v>
      </c>
      <c r="C158" s="30" t="s">
        <v>12</v>
      </c>
      <c r="D158" s="30" t="s">
        <v>513</v>
      </c>
      <c r="E158" s="30" t="s">
        <v>516</v>
      </c>
      <c r="F158" s="30" t="s">
        <v>396</v>
      </c>
      <c r="G158" s="30" t="s">
        <v>392</v>
      </c>
      <c r="H158" s="30" t="s">
        <v>393</v>
      </c>
      <c r="I158" s="30" t="s">
        <v>386</v>
      </c>
      <c r="J158" s="30" t="s">
        <v>387</v>
      </c>
      <c r="K158" s="30" t="s">
        <v>387</v>
      </c>
      <c r="L158" s="30">
        <v>100</v>
      </c>
      <c r="M158" s="30">
        <v>1200</v>
      </c>
      <c r="N158" s="31">
        <v>1.2195121951219513E-2</v>
      </c>
      <c r="O158" s="32">
        <f>(L158/100)*M158*N158*(20*AE158)</f>
        <v>2634.146341463415</v>
      </c>
      <c r="P158" s="33">
        <v>1197108</v>
      </c>
      <c r="Q158" s="33">
        <v>300000</v>
      </c>
      <c r="R158" s="33">
        <f>IFERROR(P158*(L158/100),"-")</f>
        <v>1197108</v>
      </c>
      <c r="S158" s="33">
        <f>IFERROR(Q158*(L158/100),"-")</f>
        <v>300000</v>
      </c>
      <c r="T158" s="32">
        <f>IFERROR((R158+S158)/(86*12),"-")</f>
        <v>1450.6860465116279</v>
      </c>
      <c r="U158" s="32">
        <f>O158-T158</f>
        <v>1183.4602949517871</v>
      </c>
      <c r="V158" s="34">
        <f>U158/O158</f>
        <v>0.44927659345391913</v>
      </c>
      <c r="W158" s="30" t="s">
        <v>422</v>
      </c>
      <c r="X158" s="30" t="s">
        <v>23</v>
      </c>
      <c r="Y158" s="30" t="s">
        <v>396</v>
      </c>
      <c r="Z158" s="30" t="s">
        <v>389</v>
      </c>
      <c r="AA158" s="30" t="s">
        <v>390</v>
      </c>
      <c r="AB158" s="30" t="s">
        <v>391</v>
      </c>
      <c r="AC158" s="30" t="s">
        <v>392</v>
      </c>
      <c r="AD158" s="30" t="s">
        <v>393</v>
      </c>
      <c r="AE158" s="30">
        <v>9</v>
      </c>
      <c r="AF158" s="30" t="s">
        <v>394</v>
      </c>
    </row>
    <row r="159" spans="1:32" hidden="1" x14ac:dyDescent="0.35">
      <c r="A159" s="30">
        <v>1015715</v>
      </c>
      <c r="B159" s="30" t="s">
        <v>128</v>
      </c>
      <c r="C159" s="30" t="s">
        <v>12</v>
      </c>
      <c r="D159" s="30" t="s">
        <v>513</v>
      </c>
      <c r="E159" s="30" t="s">
        <v>516</v>
      </c>
      <c r="F159" s="30" t="s">
        <v>396</v>
      </c>
      <c r="G159" s="30" t="s">
        <v>392</v>
      </c>
      <c r="H159" s="30" t="s">
        <v>393</v>
      </c>
      <c r="I159" s="30" t="s">
        <v>34</v>
      </c>
      <c r="J159" s="30" t="s">
        <v>387</v>
      </c>
      <c r="K159" s="30" t="s">
        <v>387</v>
      </c>
      <c r="L159" s="30">
        <v>100</v>
      </c>
      <c r="M159" s="30">
        <v>1700</v>
      </c>
      <c r="N159" s="31">
        <v>1.2195121951219513E-2</v>
      </c>
      <c r="O159" s="32">
        <f>(L159/100)*M159*N159*(20*AE159)</f>
        <v>3731.707317073171</v>
      </c>
      <c r="P159" s="33">
        <v>1253808</v>
      </c>
      <c r="Q159" s="33">
        <v>300000</v>
      </c>
      <c r="R159" s="33">
        <f>IFERROR(P159*(L159/100),"-")</f>
        <v>1253808</v>
      </c>
      <c r="S159" s="33">
        <f>IFERROR(Q159*(L159/100),"-")</f>
        <v>300000</v>
      </c>
      <c r="T159" s="32">
        <f>IFERROR((R159+S159)/(86*12),"-")</f>
        <v>1505.6279069767443</v>
      </c>
      <c r="U159" s="32">
        <f>O159-T159</f>
        <v>2226.0794100964267</v>
      </c>
      <c r="V159" s="34">
        <f>U159/O159</f>
        <v>0.59653108375133002</v>
      </c>
      <c r="W159" s="30" t="s">
        <v>422</v>
      </c>
      <c r="X159" s="30" t="s">
        <v>23</v>
      </c>
      <c r="Y159" s="30" t="s">
        <v>396</v>
      </c>
      <c r="Z159" s="30" t="s">
        <v>389</v>
      </c>
      <c r="AA159" s="30" t="s">
        <v>390</v>
      </c>
      <c r="AB159" s="30" t="s">
        <v>391</v>
      </c>
      <c r="AC159" s="30" t="s">
        <v>392</v>
      </c>
      <c r="AD159" s="30" t="s">
        <v>393</v>
      </c>
      <c r="AE159" s="30">
        <v>9</v>
      </c>
      <c r="AF159" s="30" t="s">
        <v>394</v>
      </c>
    </row>
    <row r="160" spans="1:32" hidden="1" x14ac:dyDescent="0.35">
      <c r="A160" s="30">
        <v>1017353</v>
      </c>
      <c r="B160" s="30" t="s">
        <v>440</v>
      </c>
      <c r="C160" s="30" t="s">
        <v>99</v>
      </c>
      <c r="D160" s="30" t="s">
        <v>513</v>
      </c>
      <c r="E160" s="30" t="s">
        <v>516</v>
      </c>
      <c r="F160" s="30" t="s">
        <v>396</v>
      </c>
      <c r="G160" s="30" t="s">
        <v>392</v>
      </c>
      <c r="H160" s="30" t="s">
        <v>393</v>
      </c>
      <c r="I160" s="30" t="s">
        <v>34</v>
      </c>
      <c r="J160" s="30" t="s">
        <v>387</v>
      </c>
      <c r="K160" s="30" t="s">
        <v>387</v>
      </c>
      <c r="L160" s="30">
        <v>100</v>
      </c>
      <c r="M160" s="30">
        <v>1700</v>
      </c>
      <c r="N160" s="31">
        <v>1.2195121951219513E-2</v>
      </c>
      <c r="O160" s="32">
        <f>(L160/100)*M160*N160*(20*AE160)</f>
        <v>3731.707317073171</v>
      </c>
      <c r="P160" s="33">
        <v>1313208</v>
      </c>
      <c r="Q160" s="33">
        <v>300000</v>
      </c>
      <c r="R160" s="33">
        <f>IFERROR(P160*(L160/100),"-")</f>
        <v>1313208</v>
      </c>
      <c r="S160" s="33">
        <f>IFERROR(Q160*(L160/100),"-")</f>
        <v>300000</v>
      </c>
      <c r="T160" s="32">
        <f>IFERROR((R160+S160)/(86*12),"-")</f>
        <v>1563.1860465116279</v>
      </c>
      <c r="U160" s="32">
        <f>O160-T160</f>
        <v>2168.5212705615431</v>
      </c>
      <c r="V160" s="34">
        <f>U160/O160</f>
        <v>0.58110700714394292</v>
      </c>
      <c r="W160" s="30" t="s">
        <v>422</v>
      </c>
      <c r="X160" s="30" t="s">
        <v>23</v>
      </c>
      <c r="Y160" s="30" t="s">
        <v>396</v>
      </c>
      <c r="Z160" s="30" t="s">
        <v>389</v>
      </c>
      <c r="AA160" s="30" t="s">
        <v>390</v>
      </c>
      <c r="AB160" s="30" t="s">
        <v>391</v>
      </c>
      <c r="AC160" s="30" t="s">
        <v>392</v>
      </c>
      <c r="AD160" s="30" t="s">
        <v>393</v>
      </c>
      <c r="AE160" s="30">
        <v>9</v>
      </c>
      <c r="AF160" s="30" t="s">
        <v>394</v>
      </c>
    </row>
    <row r="161" spans="1:32" hidden="1" x14ac:dyDescent="0.35">
      <c r="A161" s="30">
        <v>1017347</v>
      </c>
      <c r="B161" s="30" t="s">
        <v>445</v>
      </c>
      <c r="C161" s="30" t="s">
        <v>12</v>
      </c>
      <c r="D161" s="30" t="s">
        <v>513</v>
      </c>
      <c r="E161" s="30" t="s">
        <v>516</v>
      </c>
      <c r="F161" s="30" t="s">
        <v>396</v>
      </c>
      <c r="G161" s="30" t="s">
        <v>392</v>
      </c>
      <c r="H161" s="30" t="s">
        <v>393</v>
      </c>
      <c r="I161" s="30" t="s">
        <v>34</v>
      </c>
      <c r="J161" s="30" t="s">
        <v>387</v>
      </c>
      <c r="K161" s="30" t="s">
        <v>387</v>
      </c>
      <c r="L161" s="30">
        <v>100</v>
      </c>
      <c r="M161" s="30">
        <v>1700</v>
      </c>
      <c r="N161" s="31">
        <v>1.2195121951219513E-2</v>
      </c>
      <c r="O161" s="32">
        <f>(L161/100)*M161*N161*(20*AE161)</f>
        <v>3731.707317073171</v>
      </c>
      <c r="P161" s="33">
        <v>1383708</v>
      </c>
      <c r="Q161" s="33">
        <v>300000</v>
      </c>
      <c r="R161" s="33">
        <f>IFERROR(P161*(L161/100),"-")</f>
        <v>1383708</v>
      </c>
      <c r="S161" s="33">
        <f>IFERROR(Q161*(L161/100),"-")</f>
        <v>300000</v>
      </c>
      <c r="T161" s="32">
        <f>IFERROR((R161+S161)/(86*12),"-")</f>
        <v>1631.5</v>
      </c>
      <c r="U161" s="32">
        <f>O161-T161</f>
        <v>2100.207317073171</v>
      </c>
      <c r="V161" s="34">
        <f>U161/O161</f>
        <v>0.56280065359477127</v>
      </c>
      <c r="W161" s="30" t="s">
        <v>422</v>
      </c>
      <c r="X161" s="30" t="s">
        <v>23</v>
      </c>
      <c r="Y161" s="30" t="s">
        <v>396</v>
      </c>
      <c r="Z161" s="30" t="s">
        <v>389</v>
      </c>
      <c r="AA161" s="30" t="s">
        <v>390</v>
      </c>
      <c r="AB161" s="30" t="s">
        <v>391</v>
      </c>
      <c r="AC161" s="30" t="s">
        <v>392</v>
      </c>
      <c r="AD161" s="30" t="s">
        <v>393</v>
      </c>
      <c r="AE161" s="30">
        <v>9</v>
      </c>
      <c r="AF161" s="30" t="s">
        <v>394</v>
      </c>
    </row>
    <row r="162" spans="1:32" hidden="1" x14ac:dyDescent="0.35">
      <c r="A162" s="30">
        <v>1014386</v>
      </c>
      <c r="B162" s="30" t="s">
        <v>122</v>
      </c>
      <c r="C162" s="30" t="s">
        <v>99</v>
      </c>
      <c r="D162" s="30" t="s">
        <v>513</v>
      </c>
      <c r="E162" s="30" t="s">
        <v>516</v>
      </c>
      <c r="F162" s="30" t="s">
        <v>396</v>
      </c>
      <c r="G162" s="30" t="s">
        <v>392</v>
      </c>
      <c r="H162" s="30" t="s">
        <v>393</v>
      </c>
      <c r="I162" s="30" t="s">
        <v>77</v>
      </c>
      <c r="J162" s="30" t="s">
        <v>387</v>
      </c>
      <c r="K162" s="30" t="s">
        <v>387</v>
      </c>
      <c r="L162" s="30">
        <v>100</v>
      </c>
      <c r="M162" s="30">
        <v>1700</v>
      </c>
      <c r="N162" s="31">
        <v>1.2195121951219513E-2</v>
      </c>
      <c r="O162" s="32">
        <f>(L162/100)*M162*N162*(20*AE162)</f>
        <v>3731.707317073171</v>
      </c>
      <c r="P162" s="33">
        <v>1436904</v>
      </c>
      <c r="Q162" s="33">
        <v>300000</v>
      </c>
      <c r="R162" s="33">
        <f>IFERROR(P162*(L162/100),"-")</f>
        <v>1436904</v>
      </c>
      <c r="S162" s="33">
        <f>IFERROR(Q162*(L162/100),"-")</f>
        <v>300000</v>
      </c>
      <c r="T162" s="32">
        <f>IFERROR((R162+S162)/(86*12),"-")</f>
        <v>1683.046511627907</v>
      </c>
      <c r="U162" s="32">
        <f>O162-T162</f>
        <v>2048.660805445264</v>
      </c>
      <c r="V162" s="34">
        <f>U162/O162</f>
        <v>0.54898753609971118</v>
      </c>
      <c r="W162" s="30" t="s">
        <v>422</v>
      </c>
      <c r="X162" s="30" t="s">
        <v>23</v>
      </c>
      <c r="Y162" s="30" t="s">
        <v>396</v>
      </c>
      <c r="Z162" s="30" t="s">
        <v>389</v>
      </c>
      <c r="AA162" s="30" t="s">
        <v>390</v>
      </c>
      <c r="AB162" s="30" t="s">
        <v>391</v>
      </c>
      <c r="AC162" s="30" t="s">
        <v>392</v>
      </c>
      <c r="AD162" s="30" t="s">
        <v>393</v>
      </c>
      <c r="AE162" s="30">
        <v>9</v>
      </c>
      <c r="AF162" s="30" t="s">
        <v>394</v>
      </c>
    </row>
    <row r="163" spans="1:32" hidden="1" x14ac:dyDescent="0.35">
      <c r="A163" s="30">
        <v>1016590</v>
      </c>
      <c r="B163" s="30" t="s">
        <v>457</v>
      </c>
      <c r="C163" s="30" t="s">
        <v>12</v>
      </c>
      <c r="D163" s="30" t="s">
        <v>513</v>
      </c>
      <c r="E163" s="30" t="s">
        <v>516</v>
      </c>
      <c r="F163" s="30" t="s">
        <v>396</v>
      </c>
      <c r="G163" s="30" t="s">
        <v>392</v>
      </c>
      <c r="H163" s="30" t="s">
        <v>393</v>
      </c>
      <c r="I163" s="30" t="s">
        <v>34</v>
      </c>
      <c r="J163" s="30" t="s">
        <v>387</v>
      </c>
      <c r="K163" s="30" t="s">
        <v>387</v>
      </c>
      <c r="L163" s="30">
        <v>100</v>
      </c>
      <c r="M163" s="30">
        <v>1700</v>
      </c>
      <c r="N163" s="31">
        <v>1.2195121951219513E-2</v>
      </c>
      <c r="O163" s="32">
        <f>(L163/100)*M163*N163*(20*AE163)</f>
        <v>3731.707317073171</v>
      </c>
      <c r="P163" s="33">
        <v>1510308</v>
      </c>
      <c r="Q163" s="33">
        <v>300000</v>
      </c>
      <c r="R163" s="33">
        <f>IFERROR(P163*(L163/100),"-")</f>
        <v>1510308</v>
      </c>
      <c r="S163" s="33">
        <f>IFERROR(Q163*(L163/100),"-")</f>
        <v>300000</v>
      </c>
      <c r="T163" s="32">
        <f>IFERROR((R163+S163)/(86*12),"-")</f>
        <v>1754.1744186046512</v>
      </c>
      <c r="U163" s="32">
        <f>O163-T163</f>
        <v>1977.5328984685198</v>
      </c>
      <c r="V163" s="34">
        <f>U163/O163</f>
        <v>0.52992711658306735</v>
      </c>
      <c r="W163" s="30" t="s">
        <v>422</v>
      </c>
      <c r="X163" s="30" t="s">
        <v>23</v>
      </c>
      <c r="Y163" s="30" t="s">
        <v>396</v>
      </c>
      <c r="Z163" s="30" t="s">
        <v>389</v>
      </c>
      <c r="AA163" s="30" t="s">
        <v>390</v>
      </c>
      <c r="AB163" s="30" t="s">
        <v>391</v>
      </c>
      <c r="AC163" s="30" t="s">
        <v>392</v>
      </c>
      <c r="AD163" s="30" t="s">
        <v>393</v>
      </c>
      <c r="AE163" s="30">
        <v>9</v>
      </c>
      <c r="AF163" s="30" t="s">
        <v>394</v>
      </c>
    </row>
    <row r="164" spans="1:32" hidden="1" x14ac:dyDescent="0.35">
      <c r="A164" s="30">
        <v>1101313</v>
      </c>
      <c r="B164" s="30" t="s">
        <v>317</v>
      </c>
      <c r="C164" s="30" t="s">
        <v>12</v>
      </c>
      <c r="D164" s="30" t="s">
        <v>513</v>
      </c>
      <c r="E164" s="30" t="s">
        <v>516</v>
      </c>
      <c r="F164" s="30" t="s">
        <v>396</v>
      </c>
      <c r="G164" s="30" t="s">
        <v>392</v>
      </c>
      <c r="H164" s="30" t="s">
        <v>393</v>
      </c>
      <c r="I164" s="30" t="s">
        <v>77</v>
      </c>
      <c r="J164" s="30" t="s">
        <v>387</v>
      </c>
      <c r="K164" s="30" t="s">
        <v>387</v>
      </c>
      <c r="L164" s="30">
        <v>100</v>
      </c>
      <c r="M164" s="30">
        <v>1700</v>
      </c>
      <c r="N164" s="31">
        <v>1.2195121951219513E-2</v>
      </c>
      <c r="O164" s="32">
        <f>(L164/100)*M164*N164*(20*AE164)</f>
        <v>3731.707317073171</v>
      </c>
      <c r="P164" s="33">
        <v>1550004</v>
      </c>
      <c r="Q164" s="33">
        <v>300000</v>
      </c>
      <c r="R164" s="33">
        <f>IFERROR(P164*(L164/100),"-")</f>
        <v>1550004</v>
      </c>
      <c r="S164" s="33">
        <f>IFERROR(Q164*(L164/100),"-")</f>
        <v>300000</v>
      </c>
      <c r="T164" s="32">
        <f>IFERROR((R164+S164)/(86*12),"-")</f>
        <v>1792.6395348837209</v>
      </c>
      <c r="U164" s="32">
        <f>O164-T164</f>
        <v>1939.0677821894501</v>
      </c>
      <c r="V164" s="34">
        <f>U164/O164</f>
        <v>0.51961947104423167</v>
      </c>
      <c r="W164" s="30" t="s">
        <v>422</v>
      </c>
      <c r="X164" s="30" t="s">
        <v>23</v>
      </c>
      <c r="Y164" s="30" t="s">
        <v>396</v>
      </c>
      <c r="Z164" s="30" t="s">
        <v>389</v>
      </c>
      <c r="AA164" s="30" t="s">
        <v>390</v>
      </c>
      <c r="AB164" s="30" t="s">
        <v>391</v>
      </c>
      <c r="AC164" s="30" t="s">
        <v>392</v>
      </c>
      <c r="AD164" s="30" t="s">
        <v>393</v>
      </c>
      <c r="AE164" s="30">
        <v>9</v>
      </c>
      <c r="AF164" s="30" t="s">
        <v>394</v>
      </c>
    </row>
    <row r="165" spans="1:32" hidden="1" x14ac:dyDescent="0.35">
      <c r="A165" s="30">
        <v>1010136</v>
      </c>
      <c r="B165" s="30" t="s">
        <v>76</v>
      </c>
      <c r="C165" s="30" t="s">
        <v>12</v>
      </c>
      <c r="D165" s="30" t="s">
        <v>513</v>
      </c>
      <c r="E165" s="30" t="s">
        <v>529</v>
      </c>
      <c r="F165" s="30" t="s">
        <v>396</v>
      </c>
      <c r="G165" s="30" t="s">
        <v>392</v>
      </c>
      <c r="H165" s="30" t="s">
        <v>393</v>
      </c>
      <c r="I165" s="30" t="s">
        <v>77</v>
      </c>
      <c r="J165" s="30" t="s">
        <v>387</v>
      </c>
      <c r="K165" s="30" t="s">
        <v>387</v>
      </c>
      <c r="L165" s="30">
        <v>100</v>
      </c>
      <c r="M165" s="30">
        <v>1800</v>
      </c>
      <c r="N165" s="31">
        <v>1.2195121951219513E-2</v>
      </c>
      <c r="O165" s="32">
        <f>(L165/100)*M165*N165*(20*AE165)</f>
        <v>3951.2195121951222</v>
      </c>
      <c r="P165" s="33">
        <v>1724908</v>
      </c>
      <c r="Q165" s="33">
        <v>300000</v>
      </c>
      <c r="R165" s="33">
        <f>IFERROR(P165*(L165/100),"-")</f>
        <v>1724908</v>
      </c>
      <c r="S165" s="33">
        <f>IFERROR(Q165*(L165/100),"-")</f>
        <v>300000</v>
      </c>
      <c r="T165" s="32">
        <f>IFERROR((R165+S165)/(86*12),"-")</f>
        <v>1962.1201550387598</v>
      </c>
      <c r="U165" s="32">
        <f>O165-T165</f>
        <v>1989.0993571563624</v>
      </c>
      <c r="V165" s="34">
        <f>U165/O165</f>
        <v>0.50341403483586944</v>
      </c>
      <c r="W165" s="30" t="s">
        <v>422</v>
      </c>
      <c r="X165" s="30" t="s">
        <v>23</v>
      </c>
      <c r="Y165" s="30" t="s">
        <v>396</v>
      </c>
      <c r="Z165" s="30" t="s">
        <v>389</v>
      </c>
      <c r="AA165" s="30" t="s">
        <v>390</v>
      </c>
      <c r="AB165" s="30" t="s">
        <v>391</v>
      </c>
      <c r="AC165" s="30" t="s">
        <v>392</v>
      </c>
      <c r="AD165" s="30" t="s">
        <v>393</v>
      </c>
      <c r="AE165" s="30">
        <v>9</v>
      </c>
      <c r="AF165" s="30" t="s">
        <v>394</v>
      </c>
    </row>
    <row r="166" spans="1:32" hidden="1" x14ac:dyDescent="0.35">
      <c r="A166" s="30">
        <v>1017232</v>
      </c>
      <c r="B166" s="30" t="s">
        <v>479</v>
      </c>
      <c r="C166" s="30" t="s">
        <v>12</v>
      </c>
      <c r="D166" s="30" t="s">
        <v>513</v>
      </c>
      <c r="E166" s="30" t="s">
        <v>516</v>
      </c>
      <c r="F166" s="30" t="s">
        <v>396</v>
      </c>
      <c r="G166" s="30" t="s">
        <v>392</v>
      </c>
      <c r="H166" s="30" t="s">
        <v>393</v>
      </c>
      <c r="I166" s="30" t="s">
        <v>77</v>
      </c>
      <c r="J166" s="30" t="s">
        <v>387</v>
      </c>
      <c r="K166" s="30" t="s">
        <v>387</v>
      </c>
      <c r="L166" s="30">
        <v>100</v>
      </c>
      <c r="M166" s="30">
        <v>1700</v>
      </c>
      <c r="N166" s="31">
        <v>1.2195121951219513E-2</v>
      </c>
      <c r="O166" s="32">
        <f>(L166/100)*M166*N166*(20*AE166)</f>
        <v>3731.707317073171</v>
      </c>
      <c r="P166" s="33">
        <v>1775004</v>
      </c>
      <c r="Q166" s="33">
        <v>300000</v>
      </c>
      <c r="R166" s="33">
        <f>IFERROR(P166*(L166/100),"-")</f>
        <v>1775004</v>
      </c>
      <c r="S166" s="33">
        <f>IFERROR(Q166*(L166/100),"-")</f>
        <v>300000</v>
      </c>
      <c r="T166" s="32">
        <f>IFERROR((R166+S166)/(86*12),"-")</f>
        <v>2010.6627906976744</v>
      </c>
      <c r="U166" s="32">
        <f>O166-T166</f>
        <v>1721.0445263754966</v>
      </c>
      <c r="V166" s="34">
        <f>U166/O166</f>
        <v>0.46119493844049253</v>
      </c>
      <c r="W166" s="30" t="s">
        <v>422</v>
      </c>
      <c r="X166" s="30" t="s">
        <v>23</v>
      </c>
      <c r="Y166" s="30" t="s">
        <v>396</v>
      </c>
      <c r="Z166" s="30" t="s">
        <v>389</v>
      </c>
      <c r="AA166" s="30" t="s">
        <v>390</v>
      </c>
      <c r="AB166" s="30" t="s">
        <v>391</v>
      </c>
      <c r="AC166" s="30" t="s">
        <v>392</v>
      </c>
      <c r="AD166" s="30" t="s">
        <v>393</v>
      </c>
      <c r="AE166" s="30">
        <v>9</v>
      </c>
      <c r="AF166" s="30" t="s">
        <v>394</v>
      </c>
    </row>
    <row r="167" spans="1:32" hidden="1" x14ac:dyDescent="0.35">
      <c r="A167" s="30">
        <v>1015283</v>
      </c>
      <c r="B167" s="30" t="s">
        <v>119</v>
      </c>
      <c r="C167" s="30" t="s">
        <v>12</v>
      </c>
      <c r="D167" s="30" t="s">
        <v>513</v>
      </c>
      <c r="E167" s="30" t="s">
        <v>516</v>
      </c>
      <c r="F167" s="30" t="s">
        <v>396</v>
      </c>
      <c r="G167" s="30" t="s">
        <v>392</v>
      </c>
      <c r="H167" s="30" t="s">
        <v>393</v>
      </c>
      <c r="I167" s="30" t="s">
        <v>77</v>
      </c>
      <c r="J167" s="30" t="s">
        <v>387</v>
      </c>
      <c r="K167" s="30" t="s">
        <v>387</v>
      </c>
      <c r="L167" s="30">
        <v>100</v>
      </c>
      <c r="M167" s="30">
        <v>1700</v>
      </c>
      <c r="N167" s="31">
        <v>1.2195121951219513E-2</v>
      </c>
      <c r="O167" s="32">
        <f>(L167/100)*M167*N167*(20*AE167)</f>
        <v>3731.707317073171</v>
      </c>
      <c r="P167" s="33">
        <v>1810608</v>
      </c>
      <c r="Q167" s="33">
        <v>300000</v>
      </c>
      <c r="R167" s="33">
        <f>IFERROR(P167*(L167/100),"-")</f>
        <v>1810608</v>
      </c>
      <c r="S167" s="33">
        <f>IFERROR(Q167*(L167/100),"-")</f>
        <v>300000</v>
      </c>
      <c r="T167" s="32">
        <f>IFERROR((R167+S167)/(86*12),"-")</f>
        <v>2045.1627906976744</v>
      </c>
      <c r="U167" s="32">
        <f>O167-T167</f>
        <v>1686.5445263754966</v>
      </c>
      <c r="V167" s="34">
        <f>U167/O167</f>
        <v>0.45194984040127684</v>
      </c>
      <c r="W167" s="30" t="s">
        <v>422</v>
      </c>
      <c r="X167" s="30" t="s">
        <v>23</v>
      </c>
      <c r="Y167" s="30" t="s">
        <v>396</v>
      </c>
      <c r="Z167" s="30" t="s">
        <v>389</v>
      </c>
      <c r="AA167" s="30" t="s">
        <v>390</v>
      </c>
      <c r="AB167" s="30" t="s">
        <v>391</v>
      </c>
      <c r="AC167" s="30" t="s">
        <v>392</v>
      </c>
      <c r="AD167" s="30" t="s">
        <v>393</v>
      </c>
      <c r="AE167" s="30">
        <v>9</v>
      </c>
      <c r="AF167" s="30" t="s">
        <v>394</v>
      </c>
    </row>
    <row r="168" spans="1:32" hidden="1" x14ac:dyDescent="0.35">
      <c r="A168" s="30">
        <v>1013294</v>
      </c>
      <c r="B168" s="30" t="s">
        <v>102</v>
      </c>
      <c r="C168" s="30" t="s">
        <v>12</v>
      </c>
      <c r="D168" s="30" t="s">
        <v>513</v>
      </c>
      <c r="E168" s="30" t="s">
        <v>516</v>
      </c>
      <c r="F168" s="30" t="s">
        <v>396</v>
      </c>
      <c r="G168" s="30" t="s">
        <v>392</v>
      </c>
      <c r="H168" s="30" t="s">
        <v>393</v>
      </c>
      <c r="I168" s="30" t="s">
        <v>34</v>
      </c>
      <c r="J168" s="30" t="s">
        <v>387</v>
      </c>
      <c r="K168" s="30" t="s">
        <v>387</v>
      </c>
      <c r="L168" s="30">
        <v>100</v>
      </c>
      <c r="M168" s="30">
        <v>1700</v>
      </c>
      <c r="N168" s="31">
        <v>1.2195121951219513E-2</v>
      </c>
      <c r="O168" s="32">
        <f>(L168/100)*M168*N168*(20*AE168)</f>
        <v>3731.707317073171</v>
      </c>
      <c r="P168" s="33">
        <v>1901100</v>
      </c>
      <c r="Q168" s="33">
        <v>300000</v>
      </c>
      <c r="R168" s="33">
        <f>IFERROR(P168*(L168/100),"-")</f>
        <v>1901100</v>
      </c>
      <c r="S168" s="33">
        <f>IFERROR(Q168*(L168/100),"-")</f>
        <v>300000</v>
      </c>
      <c r="T168" s="32">
        <f>IFERROR((R168+S168)/(86*12),"-")</f>
        <v>2132.8488372093025</v>
      </c>
      <c r="U168" s="32">
        <f>O168-T168</f>
        <v>1598.8584798638685</v>
      </c>
      <c r="V168" s="34">
        <f>U168/O168</f>
        <v>0.42845227238182093</v>
      </c>
      <c r="W168" s="30" t="s">
        <v>422</v>
      </c>
      <c r="X168" s="30" t="s">
        <v>23</v>
      </c>
      <c r="Y168" s="30" t="s">
        <v>396</v>
      </c>
      <c r="Z168" s="30" t="s">
        <v>389</v>
      </c>
      <c r="AA168" s="30" t="s">
        <v>390</v>
      </c>
      <c r="AB168" s="30" t="s">
        <v>391</v>
      </c>
      <c r="AC168" s="30" t="s">
        <v>392</v>
      </c>
      <c r="AD168" s="30" t="s">
        <v>393</v>
      </c>
      <c r="AE168" s="30">
        <v>9</v>
      </c>
      <c r="AF168" s="30" t="s">
        <v>394</v>
      </c>
    </row>
    <row r="169" spans="1:32" hidden="1" x14ac:dyDescent="0.35">
      <c r="A169" s="30">
        <v>1101014</v>
      </c>
      <c r="B169" s="30" t="s">
        <v>493</v>
      </c>
      <c r="C169" s="30" t="s">
        <v>12</v>
      </c>
      <c r="D169" s="30" t="s">
        <v>513</v>
      </c>
      <c r="E169" s="30" t="s">
        <v>531</v>
      </c>
      <c r="F169" s="30" t="s">
        <v>396</v>
      </c>
      <c r="G169" s="30" t="s">
        <v>392</v>
      </c>
      <c r="H169" s="30" t="s">
        <v>393</v>
      </c>
      <c r="I169" s="30" t="s">
        <v>77</v>
      </c>
      <c r="J169" s="30" t="s">
        <v>387</v>
      </c>
      <c r="K169" s="30" t="s">
        <v>387</v>
      </c>
      <c r="L169" s="30">
        <v>100</v>
      </c>
      <c r="M169" s="30">
        <v>2100</v>
      </c>
      <c r="N169" s="31">
        <v>1.2195121951219513E-2</v>
      </c>
      <c r="O169" s="32">
        <f>(L169/100)*M169*N169*(20*AE169)</f>
        <v>4609.7560975609758</v>
      </c>
      <c r="P169" s="33">
        <v>2200000</v>
      </c>
      <c r="Q169" s="33">
        <v>300000</v>
      </c>
      <c r="R169" s="33">
        <f>IFERROR(P169*(L169/100),"-")</f>
        <v>2200000</v>
      </c>
      <c r="S169" s="33">
        <f>IFERROR(Q169*(L169/100),"-")</f>
        <v>300000</v>
      </c>
      <c r="T169" s="32">
        <f>IFERROR((R169+S169)/(86*12),"-")</f>
        <v>2422.4806201550387</v>
      </c>
      <c r="U169" s="32">
        <f>O169-T169</f>
        <v>2187.2754774059372</v>
      </c>
      <c r="V169" s="34">
        <f>U169/O169</f>
        <v>0.4744883310774784</v>
      </c>
      <c r="W169" s="30" t="s">
        <v>422</v>
      </c>
      <c r="X169" s="30" t="s">
        <v>23</v>
      </c>
      <c r="Y169" s="30" t="s">
        <v>396</v>
      </c>
      <c r="Z169" s="30" t="s">
        <v>389</v>
      </c>
      <c r="AA169" s="30" t="s">
        <v>390</v>
      </c>
      <c r="AB169" s="30" t="s">
        <v>391</v>
      </c>
      <c r="AC169" s="30" t="s">
        <v>392</v>
      </c>
      <c r="AD169" s="30" t="s">
        <v>393</v>
      </c>
      <c r="AE169" s="30">
        <v>9</v>
      </c>
      <c r="AF169" s="30" t="s">
        <v>394</v>
      </c>
    </row>
    <row r="170" spans="1:32" hidden="1" x14ac:dyDescent="0.35">
      <c r="A170" s="30">
        <v>1011228</v>
      </c>
      <c r="B170" s="30" t="s">
        <v>499</v>
      </c>
      <c r="C170" s="30" t="s">
        <v>12</v>
      </c>
      <c r="D170" s="30" t="s">
        <v>513</v>
      </c>
      <c r="E170" s="30" t="s">
        <v>529</v>
      </c>
      <c r="F170" s="30" t="s">
        <v>396</v>
      </c>
      <c r="G170" s="30" t="s">
        <v>392</v>
      </c>
      <c r="H170" s="30" t="s">
        <v>393</v>
      </c>
      <c r="I170" s="30" t="s">
        <v>34</v>
      </c>
      <c r="J170" s="30" t="s">
        <v>387</v>
      </c>
      <c r="K170" s="30" t="s">
        <v>387</v>
      </c>
      <c r="L170" s="30">
        <v>100</v>
      </c>
      <c r="M170" s="30">
        <v>2100</v>
      </c>
      <c r="N170" s="31">
        <v>1.2195121951219513E-2</v>
      </c>
      <c r="O170" s="32">
        <f>(L170/100)*M170*N170*(20*AE170)</f>
        <v>4609.7560975609758</v>
      </c>
      <c r="P170" s="33">
        <v>2400804</v>
      </c>
      <c r="Q170" s="33">
        <v>300000</v>
      </c>
      <c r="R170" s="33">
        <f>IFERROR(P170*(L170/100),"-")</f>
        <v>2400804</v>
      </c>
      <c r="S170" s="33">
        <f>IFERROR(Q170*(L170/100),"-")</f>
        <v>300000</v>
      </c>
      <c r="T170" s="32">
        <f>IFERROR((R170+S170)/(86*12),"-")</f>
        <v>2617.0581395348836</v>
      </c>
      <c r="U170" s="32">
        <f>O170-T170</f>
        <v>1992.6979580260922</v>
      </c>
      <c r="V170" s="34">
        <f>U170/O170</f>
        <v>0.43227839301095122</v>
      </c>
      <c r="W170" s="30" t="s">
        <v>422</v>
      </c>
      <c r="X170" s="30" t="s">
        <v>23</v>
      </c>
      <c r="Y170" s="30" t="s">
        <v>396</v>
      </c>
      <c r="Z170" s="30" t="s">
        <v>389</v>
      </c>
      <c r="AA170" s="30" t="s">
        <v>390</v>
      </c>
      <c r="AB170" s="30" t="s">
        <v>391</v>
      </c>
      <c r="AC170" s="30" t="s">
        <v>392</v>
      </c>
      <c r="AD170" s="30" t="s">
        <v>393</v>
      </c>
      <c r="AE170" s="30">
        <v>9</v>
      </c>
      <c r="AF170" s="30" t="s">
        <v>394</v>
      </c>
    </row>
    <row r="171" spans="1:32" hidden="1" x14ac:dyDescent="0.35">
      <c r="A171" s="30">
        <v>1014547</v>
      </c>
      <c r="B171" s="30" t="s">
        <v>113</v>
      </c>
      <c r="C171" s="30" t="s">
        <v>12</v>
      </c>
      <c r="D171" s="30" t="s">
        <v>513</v>
      </c>
      <c r="E171" s="30" t="s">
        <v>529</v>
      </c>
      <c r="F171" s="30" t="s">
        <v>396</v>
      </c>
      <c r="G171" s="30" t="s">
        <v>392</v>
      </c>
      <c r="H171" s="30" t="s">
        <v>393</v>
      </c>
      <c r="I171" s="30" t="s">
        <v>77</v>
      </c>
      <c r="J171" s="30" t="s">
        <v>387</v>
      </c>
      <c r="K171" s="30" t="s">
        <v>387</v>
      </c>
      <c r="L171" s="30">
        <v>100</v>
      </c>
      <c r="M171" s="30">
        <v>2100</v>
      </c>
      <c r="N171" s="31">
        <v>1.2195121951219513E-2</v>
      </c>
      <c r="O171" s="32">
        <f>(L171/100)*M171*N171*(20*AE171)</f>
        <v>4609.7560975609758</v>
      </c>
      <c r="P171" s="33">
        <v>2468904</v>
      </c>
      <c r="Q171" s="33">
        <v>300000</v>
      </c>
      <c r="R171" s="33">
        <f>IFERROR(P171*(L171/100),"-")</f>
        <v>2468904</v>
      </c>
      <c r="S171" s="33">
        <f>IFERROR(Q171*(L171/100),"-")</f>
        <v>300000</v>
      </c>
      <c r="T171" s="32">
        <f>IFERROR((R171+S171)/(86*12),"-")</f>
        <v>2683.046511627907</v>
      </c>
      <c r="U171" s="32">
        <f>O171-T171</f>
        <v>1926.7095859330689</v>
      </c>
      <c r="V171" s="34">
        <f>U171/O171</f>
        <v>0.41796345514950167</v>
      </c>
      <c r="W171" s="30" t="s">
        <v>422</v>
      </c>
      <c r="X171" s="30" t="s">
        <v>23</v>
      </c>
      <c r="Y171" s="30" t="s">
        <v>396</v>
      </c>
      <c r="Z171" s="30" t="s">
        <v>389</v>
      </c>
      <c r="AA171" s="30" t="s">
        <v>390</v>
      </c>
      <c r="AB171" s="30" t="s">
        <v>391</v>
      </c>
      <c r="AC171" s="30" t="s">
        <v>392</v>
      </c>
      <c r="AD171" s="30" t="s">
        <v>393</v>
      </c>
      <c r="AE171" s="30">
        <v>9</v>
      </c>
      <c r="AF171" s="30" t="s">
        <v>394</v>
      </c>
    </row>
    <row r="172" spans="1:32" x14ac:dyDescent="0.35">
      <c r="A172" s="38">
        <v>1601237</v>
      </c>
      <c r="B172" s="45" t="s">
        <v>559</v>
      </c>
      <c r="C172" s="40"/>
      <c r="D172" s="40"/>
      <c r="E172" s="40"/>
      <c r="F172" s="40"/>
      <c r="G172" s="40"/>
      <c r="H172" s="40"/>
      <c r="I172" s="40" t="s">
        <v>14</v>
      </c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53">
        <v>0.33333333333333331</v>
      </c>
      <c r="W172" s="40"/>
      <c r="X172" s="30" t="s">
        <v>23</v>
      </c>
      <c r="Y172" s="40"/>
      <c r="Z172" s="40"/>
      <c r="AA172" s="40"/>
      <c r="AB172" s="40"/>
      <c r="AC172" s="40"/>
      <c r="AD172" s="40"/>
      <c r="AE172" s="40"/>
      <c r="AF172" s="40"/>
    </row>
    <row r="173" spans="1:32" x14ac:dyDescent="0.35">
      <c r="A173" s="38">
        <v>1005949</v>
      </c>
      <c r="B173" s="39" t="s">
        <v>562</v>
      </c>
      <c r="C173" s="40"/>
      <c r="D173" s="40"/>
      <c r="E173" s="40"/>
      <c r="F173" s="40"/>
      <c r="G173" s="40"/>
      <c r="H173" s="40"/>
      <c r="I173" s="40" t="s">
        <v>14</v>
      </c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53">
        <v>0.28000000000000003</v>
      </c>
      <c r="W173" s="40"/>
      <c r="X173" s="30" t="s">
        <v>23</v>
      </c>
      <c r="Y173" s="40"/>
      <c r="Z173" s="40"/>
      <c r="AA173" s="40"/>
      <c r="AB173" s="40"/>
      <c r="AC173" s="40"/>
      <c r="AD173" s="40"/>
      <c r="AE173" s="40"/>
      <c r="AF173" s="40"/>
    </row>
    <row r="174" spans="1:32" x14ac:dyDescent="0.35">
      <c r="A174" s="38">
        <v>1012709</v>
      </c>
      <c r="B174" s="39" t="s">
        <v>565</v>
      </c>
      <c r="I174" s="29" t="s">
        <v>14</v>
      </c>
      <c r="V174" s="36">
        <v>0.6388571428571429</v>
      </c>
      <c r="X174" s="30" t="s">
        <v>23</v>
      </c>
    </row>
    <row r="175" spans="1:32" x14ac:dyDescent="0.35">
      <c r="A175" s="38">
        <v>1014344</v>
      </c>
      <c r="B175" s="39" t="s">
        <v>159</v>
      </c>
      <c r="I175" s="29" t="s">
        <v>14</v>
      </c>
      <c r="V175" s="36">
        <v>0.72985294117647059</v>
      </c>
      <c r="X175" s="30" t="s">
        <v>23</v>
      </c>
    </row>
    <row r="176" spans="1:32" x14ac:dyDescent="0.35">
      <c r="A176" s="38">
        <v>1601466</v>
      </c>
      <c r="B176" s="45" t="s">
        <v>161</v>
      </c>
      <c r="I176" s="29" t="s">
        <v>14</v>
      </c>
      <c r="V176" s="36">
        <v>0.43181818181818182</v>
      </c>
      <c r="X176" s="30" t="s">
        <v>23</v>
      </c>
    </row>
    <row r="177" spans="1:33" x14ac:dyDescent="0.35">
      <c r="A177" s="38">
        <v>1600057</v>
      </c>
      <c r="B177" s="39" t="s">
        <v>579</v>
      </c>
      <c r="I177" s="29" t="s">
        <v>14</v>
      </c>
      <c r="V177" s="36">
        <v>0.45508333333333334</v>
      </c>
      <c r="X177" s="30" t="s">
        <v>23</v>
      </c>
    </row>
    <row r="178" spans="1:33" x14ac:dyDescent="0.35">
      <c r="A178" s="38">
        <v>1601535</v>
      </c>
      <c r="B178" s="45" t="s">
        <v>174</v>
      </c>
      <c r="I178" s="29" t="s">
        <v>14</v>
      </c>
      <c r="V178" s="36">
        <v>0.25531914893617019</v>
      </c>
      <c r="X178" s="30" t="s">
        <v>23</v>
      </c>
    </row>
    <row r="179" spans="1:33" x14ac:dyDescent="0.35">
      <c r="A179" s="38">
        <v>1601630</v>
      </c>
      <c r="B179" s="45" t="s">
        <v>586</v>
      </c>
      <c r="I179" s="29" t="s">
        <v>14</v>
      </c>
      <c r="V179" s="36">
        <v>0.25531914893617019</v>
      </c>
      <c r="X179" s="30" t="s">
        <v>23</v>
      </c>
      <c r="AG179" s="29">
        <v>49</v>
      </c>
    </row>
    <row r="180" spans="1:33" x14ac:dyDescent="0.35">
      <c r="A180" s="38">
        <v>1601656</v>
      </c>
      <c r="B180" s="45" t="s">
        <v>587</v>
      </c>
      <c r="I180" s="29" t="s">
        <v>14</v>
      </c>
      <c r="V180" s="36">
        <v>0.22857142857142856</v>
      </c>
      <c r="X180" s="30" t="s">
        <v>23</v>
      </c>
      <c r="AG180" s="29">
        <v>45</v>
      </c>
    </row>
    <row r="181" spans="1:33" x14ac:dyDescent="0.35">
      <c r="A181" s="38">
        <v>1601660</v>
      </c>
      <c r="B181" s="45" t="s">
        <v>588</v>
      </c>
      <c r="I181" s="29" t="s">
        <v>14</v>
      </c>
      <c r="V181" s="36">
        <v>0.23529411764705882</v>
      </c>
      <c r="X181" s="30" t="s">
        <v>23</v>
      </c>
    </row>
    <row r="182" spans="1:33" x14ac:dyDescent="0.35">
      <c r="A182" s="38">
        <v>1014265</v>
      </c>
      <c r="B182" s="39" t="s">
        <v>589</v>
      </c>
      <c r="I182" s="29" t="s">
        <v>14</v>
      </c>
      <c r="V182" s="36">
        <v>0.73169444444444443</v>
      </c>
      <c r="X182" s="30" t="s">
        <v>23</v>
      </c>
    </row>
    <row r="183" spans="1:33" x14ac:dyDescent="0.35">
      <c r="A183" s="38">
        <v>1601741</v>
      </c>
      <c r="B183" s="45" t="s">
        <v>590</v>
      </c>
      <c r="I183" s="29" t="s">
        <v>14</v>
      </c>
      <c r="V183" s="36">
        <v>0.33333333333333331</v>
      </c>
      <c r="X183" s="30" t="s">
        <v>23</v>
      </c>
    </row>
    <row r="184" spans="1:33" x14ac:dyDescent="0.35">
      <c r="A184" s="38">
        <v>1015679</v>
      </c>
      <c r="B184" s="39" t="s">
        <v>591</v>
      </c>
      <c r="I184" s="29" t="s">
        <v>14</v>
      </c>
      <c r="V184" s="36">
        <v>0.63804166666666662</v>
      </c>
      <c r="X184" s="30" t="s">
        <v>23</v>
      </c>
    </row>
    <row r="185" spans="1:33" x14ac:dyDescent="0.35">
      <c r="A185" s="38">
        <v>1008331</v>
      </c>
      <c r="B185" s="39" t="s">
        <v>592</v>
      </c>
      <c r="I185" s="29" t="s">
        <v>14</v>
      </c>
      <c r="V185" s="36">
        <v>0.44203571428571431</v>
      </c>
      <c r="X185" s="30" t="s">
        <v>23</v>
      </c>
    </row>
    <row r="186" spans="1:33" x14ac:dyDescent="0.35">
      <c r="A186" s="38">
        <v>1602021</v>
      </c>
      <c r="B186" s="45" t="s">
        <v>283</v>
      </c>
      <c r="I186" s="29" t="s">
        <v>14</v>
      </c>
      <c r="V186" s="36">
        <v>0.26785714285714285</v>
      </c>
      <c r="X186" s="30" t="s">
        <v>23</v>
      </c>
    </row>
    <row r="187" spans="1:33" x14ac:dyDescent="0.35">
      <c r="A187" s="38">
        <v>1602082</v>
      </c>
      <c r="B187" s="45" t="s">
        <v>593</v>
      </c>
      <c r="I187" s="29" t="s">
        <v>14</v>
      </c>
      <c r="V187" s="36">
        <v>0.25</v>
      </c>
      <c r="X187" s="30" t="s">
        <v>23</v>
      </c>
    </row>
    <row r="188" spans="1:33" x14ac:dyDescent="0.35">
      <c r="A188" s="38">
        <v>1602253</v>
      </c>
      <c r="B188" s="45" t="s">
        <v>342</v>
      </c>
      <c r="I188" s="29" t="s">
        <v>14</v>
      </c>
      <c r="V188" s="36">
        <v>0.31916666666666665</v>
      </c>
      <c r="X188" s="30" t="s">
        <v>23</v>
      </c>
    </row>
    <row r="189" spans="1:33" x14ac:dyDescent="0.35">
      <c r="A189" s="40">
        <v>1602284</v>
      </c>
      <c r="B189" s="45" t="s">
        <v>600</v>
      </c>
      <c r="I189" s="29" t="s">
        <v>14</v>
      </c>
      <c r="V189" s="36">
        <v>0.28999999999999998</v>
      </c>
      <c r="X189" s="30" t="s">
        <v>23</v>
      </c>
    </row>
    <row r="190" spans="1:33" hidden="1" x14ac:dyDescent="0.35">
      <c r="A190" s="30">
        <v>1100837</v>
      </c>
      <c r="B190" s="30" t="s">
        <v>405</v>
      </c>
      <c r="C190" s="49" t="s">
        <v>12</v>
      </c>
      <c r="D190" s="49" t="s">
        <v>513</v>
      </c>
      <c r="E190" s="49" t="s">
        <v>517</v>
      </c>
      <c r="F190" s="49" t="s">
        <v>385</v>
      </c>
      <c r="G190" s="49" t="s">
        <v>392</v>
      </c>
      <c r="H190" s="49" t="s">
        <v>393</v>
      </c>
      <c r="I190" s="49" t="s">
        <v>77</v>
      </c>
      <c r="J190" s="49" t="s">
        <v>387</v>
      </c>
      <c r="K190" s="49" t="s">
        <v>387</v>
      </c>
      <c r="L190" s="49">
        <v>100</v>
      </c>
      <c r="M190" s="49">
        <v>1200</v>
      </c>
      <c r="N190" s="50">
        <v>1.2195121951219513E-2</v>
      </c>
      <c r="O190" s="51">
        <f>(L190/100)*M190*N190*(20*AE190)</f>
        <v>2634.146341463415</v>
      </c>
      <c r="P190" s="52">
        <v>500004</v>
      </c>
      <c r="Q190" s="52">
        <v>300000</v>
      </c>
      <c r="R190" s="52">
        <f>IFERROR(P190*(L190/100),"-")</f>
        <v>500004</v>
      </c>
      <c r="S190" s="52">
        <f>IFERROR(Q190*(L190/100),"-")</f>
        <v>300000</v>
      </c>
      <c r="T190" s="51">
        <f>IFERROR((R190+S190)/(86*12),"-")</f>
        <v>775.19767441860461</v>
      </c>
      <c r="U190" s="51">
        <f>O190-T190</f>
        <v>1858.9486670448105</v>
      </c>
      <c r="V190" s="54">
        <f>U190/O190</f>
        <v>0.70571199397071505</v>
      </c>
      <c r="W190" s="49" t="s">
        <v>406</v>
      </c>
      <c r="X190" s="30" t="s">
        <v>18</v>
      </c>
      <c r="Y190" s="49" t="s">
        <v>385</v>
      </c>
      <c r="Z190" s="49" t="s">
        <v>389</v>
      </c>
      <c r="AA190" s="49" t="s">
        <v>390</v>
      </c>
      <c r="AB190" s="49" t="s">
        <v>391</v>
      </c>
      <c r="AC190" s="49" t="s">
        <v>392</v>
      </c>
      <c r="AD190" s="49" t="s">
        <v>393</v>
      </c>
      <c r="AE190" s="49">
        <v>9</v>
      </c>
      <c r="AF190" s="49" t="s">
        <v>394</v>
      </c>
    </row>
    <row r="191" spans="1:33" hidden="1" x14ac:dyDescent="0.35">
      <c r="A191" s="30">
        <v>1101033</v>
      </c>
      <c r="B191" s="30" t="s">
        <v>288</v>
      </c>
      <c r="C191" s="49" t="s">
        <v>99</v>
      </c>
      <c r="D191" s="49" t="s">
        <v>513</v>
      </c>
      <c r="E191" s="49" t="s">
        <v>517</v>
      </c>
      <c r="F191" s="49" t="s">
        <v>385</v>
      </c>
      <c r="G191" s="49" t="s">
        <v>392</v>
      </c>
      <c r="H191" s="49" t="s">
        <v>393</v>
      </c>
      <c r="I191" s="49" t="s">
        <v>77</v>
      </c>
      <c r="J191" s="49" t="s">
        <v>387</v>
      </c>
      <c r="K191" s="49" t="s">
        <v>387</v>
      </c>
      <c r="L191" s="49">
        <v>100</v>
      </c>
      <c r="M191" s="49">
        <v>900</v>
      </c>
      <c r="N191" s="50">
        <v>1.2195121951219513E-2</v>
      </c>
      <c r="O191" s="51">
        <f>(L191/100)*M191*N191*(20*AE191)</f>
        <v>1975.6097560975611</v>
      </c>
      <c r="P191" s="52">
        <v>650004</v>
      </c>
      <c r="Q191" s="52">
        <v>300000</v>
      </c>
      <c r="R191" s="52">
        <f>IFERROR(P191*(L191/100),"-")</f>
        <v>650004</v>
      </c>
      <c r="S191" s="52">
        <f>IFERROR(Q191*(L191/100),"-")</f>
        <v>300000</v>
      </c>
      <c r="T191" s="51">
        <f>IFERROR((R191+S191)/(86*12),"-")</f>
        <v>920.54651162790697</v>
      </c>
      <c r="U191" s="51">
        <f>O191-T191</f>
        <v>1055.0632444696541</v>
      </c>
      <c r="V191" s="54">
        <f>U191/O191</f>
        <v>0.53404435831180019</v>
      </c>
      <c r="W191" s="49" t="s">
        <v>406</v>
      </c>
      <c r="X191" s="30" t="s">
        <v>18</v>
      </c>
      <c r="Y191" s="49" t="s">
        <v>385</v>
      </c>
      <c r="Z191" s="49" t="s">
        <v>389</v>
      </c>
      <c r="AA191" s="49" t="s">
        <v>390</v>
      </c>
      <c r="AB191" s="49" t="s">
        <v>391</v>
      </c>
      <c r="AC191" s="49" t="s">
        <v>392</v>
      </c>
      <c r="AD191" s="49" t="s">
        <v>393</v>
      </c>
      <c r="AE191" s="49">
        <v>9</v>
      </c>
      <c r="AF191" s="49" t="s">
        <v>394</v>
      </c>
    </row>
    <row r="192" spans="1:33" hidden="1" x14ac:dyDescent="0.35">
      <c r="A192" s="30">
        <v>1101711</v>
      </c>
      <c r="B192" s="30" t="s">
        <v>344</v>
      </c>
      <c r="C192" s="49" t="s">
        <v>12</v>
      </c>
      <c r="D192" s="49" t="s">
        <v>513</v>
      </c>
      <c r="E192" s="49" t="s">
        <v>517</v>
      </c>
      <c r="F192" s="49" t="s">
        <v>385</v>
      </c>
      <c r="G192" s="49" t="s">
        <v>392</v>
      </c>
      <c r="H192" s="49" t="s">
        <v>393</v>
      </c>
      <c r="I192" s="49" t="s">
        <v>77</v>
      </c>
      <c r="J192" s="49" t="s">
        <v>387</v>
      </c>
      <c r="K192" s="49" t="s">
        <v>387</v>
      </c>
      <c r="L192" s="49">
        <v>100</v>
      </c>
      <c r="M192" s="49">
        <v>1200</v>
      </c>
      <c r="N192" s="50">
        <v>1.2195121951219513E-2</v>
      </c>
      <c r="O192" s="51">
        <f>(L192/100)*M192*N192*(20*AE192)</f>
        <v>2634.146341463415</v>
      </c>
      <c r="P192" s="52">
        <v>650004</v>
      </c>
      <c r="Q192" s="52">
        <v>300000</v>
      </c>
      <c r="R192" s="52">
        <f>IFERROR(P192*(L192/100),"-")</f>
        <v>650004</v>
      </c>
      <c r="S192" s="52">
        <f>IFERROR(Q192*(L192/100),"-")</f>
        <v>300000</v>
      </c>
      <c r="T192" s="51">
        <f>IFERROR((R192+S192)/(86*12),"-")</f>
        <v>920.54651162790697</v>
      </c>
      <c r="U192" s="51">
        <f>O192-T192</f>
        <v>1713.599829835508</v>
      </c>
      <c r="V192" s="54">
        <f>U192/O192</f>
        <v>0.6505332687338502</v>
      </c>
      <c r="W192" s="49" t="s">
        <v>406</v>
      </c>
      <c r="X192" s="30" t="s">
        <v>18</v>
      </c>
      <c r="Y192" s="49" t="s">
        <v>385</v>
      </c>
      <c r="Z192" s="49" t="s">
        <v>389</v>
      </c>
      <c r="AA192" s="49" t="s">
        <v>390</v>
      </c>
      <c r="AB192" s="49" t="s">
        <v>391</v>
      </c>
      <c r="AC192" s="49" t="s">
        <v>392</v>
      </c>
      <c r="AD192" s="49" t="s">
        <v>393</v>
      </c>
      <c r="AE192" s="49">
        <v>9</v>
      </c>
      <c r="AF192" s="49" t="s">
        <v>394</v>
      </c>
    </row>
    <row r="193" spans="1:32" hidden="1" x14ac:dyDescent="0.35">
      <c r="A193" s="30">
        <v>1100625</v>
      </c>
      <c r="B193" s="30" t="s">
        <v>407</v>
      </c>
      <c r="C193" s="49" t="s">
        <v>12</v>
      </c>
      <c r="D193" s="49" t="s">
        <v>513</v>
      </c>
      <c r="E193" s="49" t="s">
        <v>518</v>
      </c>
      <c r="F193" s="49" t="s">
        <v>385</v>
      </c>
      <c r="G193" s="49" t="s">
        <v>511</v>
      </c>
      <c r="H193" s="49" t="s">
        <v>519</v>
      </c>
      <c r="I193" s="49" t="s">
        <v>240</v>
      </c>
      <c r="J193" s="49" t="s">
        <v>387</v>
      </c>
      <c r="K193" s="49" t="s">
        <v>387</v>
      </c>
      <c r="L193" s="49">
        <v>100</v>
      </c>
      <c r="M193" s="49">
        <v>1700</v>
      </c>
      <c r="N193" s="50">
        <v>1.2195121951219513E-2</v>
      </c>
      <c r="O193" s="51">
        <f>(L193/100)*M193*N193*(20*AE193)</f>
        <v>3731.707317073171</v>
      </c>
      <c r="P193" s="52">
        <v>750000</v>
      </c>
      <c r="Q193" s="52">
        <v>300000</v>
      </c>
      <c r="R193" s="52">
        <f>IFERROR(P193*(L193/100),"-")</f>
        <v>750000</v>
      </c>
      <c r="S193" s="52">
        <f>IFERROR(Q193*(L193/100),"-")</f>
        <v>300000</v>
      </c>
      <c r="T193" s="51">
        <f>IFERROR((R193+S193)/(86*12),"-")</f>
        <v>1017.4418604651163</v>
      </c>
      <c r="U193" s="51">
        <f>O193-T193</f>
        <v>2714.2654566080546</v>
      </c>
      <c r="V193" s="54">
        <f>U193/O193</f>
        <v>0.72735218118255052</v>
      </c>
      <c r="W193" s="49" t="s">
        <v>406</v>
      </c>
      <c r="X193" s="30" t="s">
        <v>18</v>
      </c>
      <c r="Y193" s="49" t="s">
        <v>385</v>
      </c>
      <c r="Z193" s="49" t="s">
        <v>389</v>
      </c>
      <c r="AA193" s="49" t="s">
        <v>390</v>
      </c>
      <c r="AB193" s="49" t="s">
        <v>391</v>
      </c>
      <c r="AC193" s="49" t="s">
        <v>392</v>
      </c>
      <c r="AD193" s="49" t="s">
        <v>393</v>
      </c>
      <c r="AE193" s="49">
        <v>9</v>
      </c>
      <c r="AF193" s="49" t="s">
        <v>394</v>
      </c>
    </row>
    <row r="194" spans="1:32" hidden="1" x14ac:dyDescent="0.35">
      <c r="A194" s="30">
        <v>1101065</v>
      </c>
      <c r="B194" s="30" t="s">
        <v>426</v>
      </c>
      <c r="C194" s="49" t="s">
        <v>12</v>
      </c>
      <c r="D194" s="49" t="s">
        <v>513</v>
      </c>
      <c r="E194" s="49" t="s">
        <v>516</v>
      </c>
      <c r="F194" s="49" t="s">
        <v>385</v>
      </c>
      <c r="G194" s="49" t="s">
        <v>392</v>
      </c>
      <c r="H194" s="49" t="s">
        <v>393</v>
      </c>
      <c r="I194" s="49" t="s">
        <v>77</v>
      </c>
      <c r="J194" s="49" t="s">
        <v>387</v>
      </c>
      <c r="K194" s="49" t="s">
        <v>387</v>
      </c>
      <c r="L194" s="49">
        <v>100</v>
      </c>
      <c r="M194" s="49">
        <v>1400</v>
      </c>
      <c r="N194" s="50">
        <v>1.2195121951219513E-2</v>
      </c>
      <c r="O194" s="51">
        <f>(L194/100)*M194*N194*(20*AE194)</f>
        <v>3073.1707317073174</v>
      </c>
      <c r="P194" s="52">
        <v>1100004</v>
      </c>
      <c r="Q194" s="52">
        <v>300000</v>
      </c>
      <c r="R194" s="52">
        <f>IFERROR(P194*(L194/100),"-")</f>
        <v>1100004</v>
      </c>
      <c r="S194" s="52">
        <f>IFERROR(Q194*(L194/100),"-")</f>
        <v>300000</v>
      </c>
      <c r="T194" s="51">
        <f>IFERROR((R194+S194)/(86*12),"-")</f>
        <v>1356.5930232558139</v>
      </c>
      <c r="U194" s="51">
        <f>O194-T194</f>
        <v>1716.5777084515034</v>
      </c>
      <c r="V194" s="54">
        <f>U194/O194</f>
        <v>0.55856893687707643</v>
      </c>
      <c r="W194" s="49" t="s">
        <v>406</v>
      </c>
      <c r="X194" s="30" t="s">
        <v>18</v>
      </c>
      <c r="Y194" s="49" t="s">
        <v>385</v>
      </c>
      <c r="Z194" s="49" t="s">
        <v>389</v>
      </c>
      <c r="AA194" s="49" t="s">
        <v>390</v>
      </c>
      <c r="AB194" s="49" t="s">
        <v>391</v>
      </c>
      <c r="AC194" s="49" t="s">
        <v>392</v>
      </c>
      <c r="AD194" s="49" t="s">
        <v>393</v>
      </c>
      <c r="AE194" s="49">
        <v>9</v>
      </c>
      <c r="AF194" s="49" t="s">
        <v>394</v>
      </c>
    </row>
    <row r="195" spans="1:32" hidden="1" x14ac:dyDescent="0.35">
      <c r="A195" s="30">
        <v>1101813</v>
      </c>
      <c r="B195" s="30" t="s">
        <v>427</v>
      </c>
      <c r="C195" s="49" t="s">
        <v>12</v>
      </c>
      <c r="D195" s="49" t="s">
        <v>513</v>
      </c>
      <c r="E195" s="49" t="s">
        <v>516</v>
      </c>
      <c r="F195" s="49" t="s">
        <v>385</v>
      </c>
      <c r="G195" s="49" t="s">
        <v>392</v>
      </c>
      <c r="H195" s="49" t="s">
        <v>393</v>
      </c>
      <c r="I195" s="49" t="s">
        <v>77</v>
      </c>
      <c r="J195" s="49" t="s">
        <v>387</v>
      </c>
      <c r="K195" s="49" t="s">
        <v>387</v>
      </c>
      <c r="L195" s="49">
        <v>100</v>
      </c>
      <c r="M195" s="49">
        <v>1200</v>
      </c>
      <c r="N195" s="50">
        <v>1.2195121951219513E-2</v>
      </c>
      <c r="O195" s="51">
        <f>(L195/100)*M195*N195*(20*AE195)</f>
        <v>2634.146341463415</v>
      </c>
      <c r="P195" s="52">
        <v>1100004</v>
      </c>
      <c r="Q195" s="52">
        <v>300000</v>
      </c>
      <c r="R195" s="52">
        <f>IFERROR(P195*(L195/100),"-")</f>
        <v>1100004</v>
      </c>
      <c r="S195" s="52">
        <f>IFERROR(Q195*(L195/100),"-")</f>
        <v>300000</v>
      </c>
      <c r="T195" s="51">
        <f>IFERROR((R195+S195)/(86*12),"-")</f>
        <v>1356.5930232558139</v>
      </c>
      <c r="U195" s="51">
        <f>O195-T195</f>
        <v>1277.553318207601</v>
      </c>
      <c r="V195" s="54">
        <f>U195/O195</f>
        <v>0.48499709302325589</v>
      </c>
      <c r="W195" s="49" t="s">
        <v>406</v>
      </c>
      <c r="X195" s="30" t="s">
        <v>18</v>
      </c>
      <c r="Y195" s="49" t="s">
        <v>385</v>
      </c>
      <c r="Z195" s="49" t="s">
        <v>389</v>
      </c>
      <c r="AA195" s="49" t="s">
        <v>390</v>
      </c>
      <c r="AB195" s="49" t="s">
        <v>391</v>
      </c>
      <c r="AC195" s="49" t="s">
        <v>392</v>
      </c>
      <c r="AD195" s="49" t="s">
        <v>393</v>
      </c>
      <c r="AE195" s="49">
        <v>9</v>
      </c>
      <c r="AF195" s="49" t="s">
        <v>394</v>
      </c>
    </row>
    <row r="196" spans="1:32" hidden="1" x14ac:dyDescent="0.35">
      <c r="A196" s="30">
        <v>1101512</v>
      </c>
      <c r="B196" s="30" t="s">
        <v>433</v>
      </c>
      <c r="C196" s="49" t="s">
        <v>12</v>
      </c>
      <c r="D196" s="49" t="s">
        <v>513</v>
      </c>
      <c r="E196" s="49" t="s">
        <v>516</v>
      </c>
      <c r="F196" s="49" t="s">
        <v>385</v>
      </c>
      <c r="G196" s="49" t="s">
        <v>392</v>
      </c>
      <c r="H196" s="49" t="s">
        <v>393</v>
      </c>
      <c r="I196" s="49" t="s">
        <v>77</v>
      </c>
      <c r="J196" s="49" t="s">
        <v>387</v>
      </c>
      <c r="K196" s="49" t="s">
        <v>387</v>
      </c>
      <c r="L196" s="49">
        <v>100</v>
      </c>
      <c r="M196" s="49">
        <v>1200</v>
      </c>
      <c r="N196" s="50">
        <v>1.2195121951219513E-2</v>
      </c>
      <c r="O196" s="51">
        <f>(L196/100)*M196*N196*(20*AE196)</f>
        <v>2634.146341463415</v>
      </c>
      <c r="P196" s="52">
        <v>1200000</v>
      </c>
      <c r="Q196" s="52">
        <v>300000</v>
      </c>
      <c r="R196" s="52">
        <f>IFERROR(P196*(L196/100),"-")</f>
        <v>1200000</v>
      </c>
      <c r="S196" s="52">
        <f>IFERROR(Q196*(L196/100),"-")</f>
        <v>300000</v>
      </c>
      <c r="T196" s="51">
        <f>IFERROR((R196+S196)/(86*12),"-")</f>
        <v>1453.4883720930231</v>
      </c>
      <c r="U196" s="51">
        <f>O196-T196</f>
        <v>1180.6579693703918</v>
      </c>
      <c r="V196" s="54">
        <f>U196/O196</f>
        <v>0.44821274763135238</v>
      </c>
      <c r="W196" s="49" t="s">
        <v>406</v>
      </c>
      <c r="X196" s="30" t="s">
        <v>18</v>
      </c>
      <c r="Y196" s="49" t="s">
        <v>385</v>
      </c>
      <c r="Z196" s="49" t="s">
        <v>389</v>
      </c>
      <c r="AA196" s="49" t="s">
        <v>390</v>
      </c>
      <c r="AB196" s="49" t="s">
        <v>391</v>
      </c>
      <c r="AC196" s="49" t="s">
        <v>392</v>
      </c>
      <c r="AD196" s="49" t="s">
        <v>393</v>
      </c>
      <c r="AE196" s="49">
        <v>9</v>
      </c>
      <c r="AF196" s="49" t="s">
        <v>394</v>
      </c>
    </row>
    <row r="197" spans="1:32" hidden="1" x14ac:dyDescent="0.35">
      <c r="A197" s="30">
        <v>1012249</v>
      </c>
      <c r="B197" s="30" t="s">
        <v>92</v>
      </c>
      <c r="C197" s="49" t="s">
        <v>12</v>
      </c>
      <c r="D197" s="49" t="s">
        <v>513</v>
      </c>
      <c r="E197" s="49" t="s">
        <v>520</v>
      </c>
      <c r="F197" s="49" t="s">
        <v>385</v>
      </c>
      <c r="G197" s="49" t="s">
        <v>511</v>
      </c>
      <c r="H197" s="49" t="s">
        <v>521</v>
      </c>
      <c r="I197" s="49" t="s">
        <v>417</v>
      </c>
      <c r="J197" s="49" t="s">
        <v>387</v>
      </c>
      <c r="K197" s="49" t="s">
        <v>387</v>
      </c>
      <c r="L197" s="49">
        <v>100</v>
      </c>
      <c r="M197" s="49">
        <v>1700</v>
      </c>
      <c r="N197" s="50">
        <v>1.2195121951219513E-2</v>
      </c>
      <c r="O197" s="51">
        <f>(L197/100)*M197*N197*(20*AE197)</f>
        <v>3731.707317073171</v>
      </c>
      <c r="P197" s="52">
        <v>1282908</v>
      </c>
      <c r="Q197" s="52">
        <v>300000</v>
      </c>
      <c r="R197" s="52">
        <f>IFERROR(P197*(L197/100),"-")</f>
        <v>1282908</v>
      </c>
      <c r="S197" s="52">
        <f>IFERROR(Q197*(L197/100),"-")</f>
        <v>300000</v>
      </c>
      <c r="T197" s="51">
        <f>IFERROR((R197+S197)/(86*12),"-")</f>
        <v>1533.8255813953488</v>
      </c>
      <c r="U197" s="51">
        <f>O197-T197</f>
        <v>2197.8817356778222</v>
      </c>
      <c r="V197" s="54">
        <f>U197/O197</f>
        <v>0.58897484420124646</v>
      </c>
      <c r="W197" s="49" t="s">
        <v>406</v>
      </c>
      <c r="X197" s="30" t="s">
        <v>18</v>
      </c>
      <c r="Y197" s="49" t="s">
        <v>385</v>
      </c>
      <c r="Z197" s="49" t="s">
        <v>389</v>
      </c>
      <c r="AA197" s="49" t="s">
        <v>390</v>
      </c>
      <c r="AB197" s="49" t="s">
        <v>391</v>
      </c>
      <c r="AC197" s="49" t="s">
        <v>392</v>
      </c>
      <c r="AD197" s="49" t="s">
        <v>393</v>
      </c>
      <c r="AE197" s="49">
        <v>9</v>
      </c>
      <c r="AF197" s="49" t="s">
        <v>394</v>
      </c>
    </row>
    <row r="198" spans="1:32" hidden="1" x14ac:dyDescent="0.35">
      <c r="A198" s="30">
        <v>1102117</v>
      </c>
      <c r="B198" s="30" t="s">
        <v>449</v>
      </c>
      <c r="C198" s="49" t="s">
        <v>12</v>
      </c>
      <c r="D198" s="49" t="s">
        <v>513</v>
      </c>
      <c r="E198" s="49" t="s">
        <v>516</v>
      </c>
      <c r="F198" s="49" t="s">
        <v>385</v>
      </c>
      <c r="G198" s="49" t="s">
        <v>392</v>
      </c>
      <c r="H198" s="49" t="s">
        <v>393</v>
      </c>
      <c r="I198" s="49" t="s">
        <v>77</v>
      </c>
      <c r="J198" s="49" t="s">
        <v>387</v>
      </c>
      <c r="K198" s="49" t="s">
        <v>387</v>
      </c>
      <c r="L198" s="49">
        <v>100</v>
      </c>
      <c r="M198" s="49">
        <v>1200</v>
      </c>
      <c r="N198" s="50">
        <v>1.2195121951219513E-2</v>
      </c>
      <c r="O198" s="51">
        <f>(L198/100)*M198*N198*(20*AE198)</f>
        <v>2634.146341463415</v>
      </c>
      <c r="P198" s="52">
        <v>1400004</v>
      </c>
      <c r="Q198" s="52">
        <v>300000</v>
      </c>
      <c r="R198" s="52">
        <f>IFERROR(P198*(L198/100),"-")</f>
        <v>1400004</v>
      </c>
      <c r="S198" s="52">
        <f>IFERROR(Q198*(L198/100),"-")</f>
        <v>300000</v>
      </c>
      <c r="T198" s="51">
        <f>IFERROR((R198+S198)/(86*12),"-")</f>
        <v>1647.2906976744187</v>
      </c>
      <c r="U198" s="51">
        <f>O198-T198</f>
        <v>986.8556437889963</v>
      </c>
      <c r="V198" s="54">
        <f>U198/O198</f>
        <v>0.37463964254952631</v>
      </c>
      <c r="W198" s="49" t="s">
        <v>406</v>
      </c>
      <c r="X198" s="30" t="s">
        <v>18</v>
      </c>
      <c r="Y198" s="49" t="s">
        <v>385</v>
      </c>
      <c r="Z198" s="49" t="s">
        <v>389</v>
      </c>
      <c r="AA198" s="49" t="s">
        <v>390</v>
      </c>
      <c r="AB198" s="49" t="s">
        <v>391</v>
      </c>
      <c r="AC198" s="49" t="s">
        <v>392</v>
      </c>
      <c r="AD198" s="49" t="s">
        <v>393</v>
      </c>
      <c r="AE198" s="49">
        <v>9</v>
      </c>
      <c r="AF198" s="49" t="s">
        <v>394</v>
      </c>
    </row>
    <row r="199" spans="1:32" hidden="1" x14ac:dyDescent="0.35">
      <c r="A199" s="30">
        <v>1008172</v>
      </c>
      <c r="B199" s="30" t="s">
        <v>41</v>
      </c>
      <c r="C199" s="49" t="s">
        <v>12</v>
      </c>
      <c r="D199" s="49" t="s">
        <v>513</v>
      </c>
      <c r="E199" s="49" t="s">
        <v>525</v>
      </c>
      <c r="F199" s="49" t="s">
        <v>385</v>
      </c>
      <c r="G199" s="49" t="s">
        <v>392</v>
      </c>
      <c r="H199" s="49" t="s">
        <v>526</v>
      </c>
      <c r="I199" s="49" t="s">
        <v>62</v>
      </c>
      <c r="J199" s="49" t="s">
        <v>387</v>
      </c>
      <c r="K199" s="49" t="s">
        <v>387</v>
      </c>
      <c r="L199" s="49">
        <v>100</v>
      </c>
      <c r="M199" s="49">
        <v>1700</v>
      </c>
      <c r="N199" s="50">
        <v>1.2195121951219513E-2</v>
      </c>
      <c r="O199" s="51">
        <f>(L199/100)*M199*N199*(20*AE199)</f>
        <v>3731.707317073171</v>
      </c>
      <c r="P199" s="52">
        <v>1474508</v>
      </c>
      <c r="Q199" s="52">
        <v>300000</v>
      </c>
      <c r="R199" s="52">
        <f>IFERROR(P199*(L199/100),"-")</f>
        <v>1474508</v>
      </c>
      <c r="S199" s="52">
        <f>IFERROR(Q199*(L199/100),"-")</f>
        <v>300000</v>
      </c>
      <c r="T199" s="51">
        <f>IFERROR((R199+S199)/(86*12),"-")</f>
        <v>1719.484496124031</v>
      </c>
      <c r="U199" s="51">
        <f>O199-T199</f>
        <v>2012.22282094914</v>
      </c>
      <c r="V199" s="54">
        <f>U199/O199</f>
        <v>0.5392231088817957</v>
      </c>
      <c r="W199" s="49" t="s">
        <v>406</v>
      </c>
      <c r="X199" s="30" t="s">
        <v>18</v>
      </c>
      <c r="Y199" s="49" t="s">
        <v>385</v>
      </c>
      <c r="Z199" s="49" t="s">
        <v>389</v>
      </c>
      <c r="AA199" s="49" t="s">
        <v>390</v>
      </c>
      <c r="AB199" s="49" t="s">
        <v>391</v>
      </c>
      <c r="AC199" s="49" t="s">
        <v>392</v>
      </c>
      <c r="AD199" s="49" t="s">
        <v>393</v>
      </c>
      <c r="AE199" s="49">
        <v>9</v>
      </c>
      <c r="AF199" s="49" t="s">
        <v>394</v>
      </c>
    </row>
    <row r="200" spans="1:32" hidden="1" x14ac:dyDescent="0.35">
      <c r="A200" s="30">
        <v>1004759</v>
      </c>
      <c r="B200" s="30" t="s">
        <v>16</v>
      </c>
      <c r="C200" s="49" t="s">
        <v>12</v>
      </c>
      <c r="D200" s="49" t="s">
        <v>513</v>
      </c>
      <c r="E200" s="49" t="s">
        <v>527</v>
      </c>
      <c r="F200" s="49" t="s">
        <v>385</v>
      </c>
      <c r="G200" s="49" t="s">
        <v>392</v>
      </c>
      <c r="H200" s="49" t="s">
        <v>393</v>
      </c>
      <c r="I200" s="49" t="s">
        <v>20</v>
      </c>
      <c r="J200" s="49" t="s">
        <v>387</v>
      </c>
      <c r="K200" s="49" t="s">
        <v>387</v>
      </c>
      <c r="L200" s="49">
        <v>100</v>
      </c>
      <c r="M200" s="49">
        <v>1400</v>
      </c>
      <c r="N200" s="50">
        <v>1.2195121951219513E-2</v>
      </c>
      <c r="O200" s="51">
        <f>(L200/100)*M200*N200*(20*AE200)</f>
        <v>3073.1707317073174</v>
      </c>
      <c r="P200" s="52">
        <v>1488004</v>
      </c>
      <c r="Q200" s="52">
        <v>300000</v>
      </c>
      <c r="R200" s="52">
        <f>IFERROR(P200*(L200/100),"-")</f>
        <v>1488004</v>
      </c>
      <c r="S200" s="52">
        <f>IFERROR(Q200*(L200/100),"-")</f>
        <v>300000</v>
      </c>
      <c r="T200" s="51">
        <f>IFERROR((R200+S200)/(86*12),"-")</f>
        <v>1732.562015503876</v>
      </c>
      <c r="U200" s="51">
        <f>O200-T200</f>
        <v>1340.6087162034414</v>
      </c>
      <c r="V200" s="54">
        <f>U200/O200</f>
        <v>0.43622982035191343</v>
      </c>
      <c r="W200" s="49" t="s">
        <v>406</v>
      </c>
      <c r="X200" s="30" t="s">
        <v>18</v>
      </c>
      <c r="Y200" s="49" t="s">
        <v>385</v>
      </c>
      <c r="Z200" s="49" t="s">
        <v>389</v>
      </c>
      <c r="AA200" s="49" t="s">
        <v>390</v>
      </c>
      <c r="AB200" s="49" t="s">
        <v>391</v>
      </c>
      <c r="AC200" s="49" t="s">
        <v>392</v>
      </c>
      <c r="AD200" s="49" t="s">
        <v>393</v>
      </c>
      <c r="AE200" s="49">
        <v>9</v>
      </c>
      <c r="AF200" s="49" t="s">
        <v>394</v>
      </c>
    </row>
    <row r="201" spans="1:32" hidden="1" x14ac:dyDescent="0.35">
      <c r="A201" s="30">
        <v>1008686</v>
      </c>
      <c r="B201" s="30" t="s">
        <v>462</v>
      </c>
      <c r="C201" s="49" t="s">
        <v>12</v>
      </c>
      <c r="D201" s="49" t="s">
        <v>513</v>
      </c>
      <c r="E201" s="49" t="s">
        <v>530</v>
      </c>
      <c r="F201" s="49" t="s">
        <v>385</v>
      </c>
      <c r="G201" s="49" t="s">
        <v>511</v>
      </c>
      <c r="H201" s="49" t="s">
        <v>521</v>
      </c>
      <c r="I201" s="49" t="s">
        <v>417</v>
      </c>
      <c r="J201" s="49" t="s">
        <v>387</v>
      </c>
      <c r="K201" s="49" t="s">
        <v>387</v>
      </c>
      <c r="L201" s="49">
        <v>100</v>
      </c>
      <c r="M201" s="49">
        <v>1700</v>
      </c>
      <c r="N201" s="50">
        <v>1.2195121951219513E-2</v>
      </c>
      <c r="O201" s="51">
        <f>(L201/100)*M201*N201*(20*AE201)</f>
        <v>3731.707317073171</v>
      </c>
      <c r="P201" s="52">
        <v>1539204</v>
      </c>
      <c r="Q201" s="52">
        <v>300000</v>
      </c>
      <c r="R201" s="52">
        <f>IFERROR(P201*(L201/100),"-")</f>
        <v>1539204</v>
      </c>
      <c r="S201" s="52">
        <f>IFERROR(Q201*(L201/100),"-")</f>
        <v>300000</v>
      </c>
      <c r="T201" s="51">
        <f>IFERROR((R201+S201)/(86*12),"-")</f>
        <v>1782.1744186046512</v>
      </c>
      <c r="U201" s="51">
        <f>O201-T201</f>
        <v>1949.5328984685198</v>
      </c>
      <c r="V201" s="54">
        <f>U201/O201</f>
        <v>0.52242384860921109</v>
      </c>
      <c r="W201" s="49" t="s">
        <v>406</v>
      </c>
      <c r="X201" s="30" t="s">
        <v>18</v>
      </c>
      <c r="Y201" s="49" t="s">
        <v>385</v>
      </c>
      <c r="Z201" s="49" t="s">
        <v>389</v>
      </c>
      <c r="AA201" s="49" t="s">
        <v>390</v>
      </c>
      <c r="AB201" s="49" t="s">
        <v>391</v>
      </c>
      <c r="AC201" s="49" t="s">
        <v>392</v>
      </c>
      <c r="AD201" s="49" t="s">
        <v>393</v>
      </c>
      <c r="AE201" s="49">
        <v>9</v>
      </c>
      <c r="AF201" s="49" t="s">
        <v>394</v>
      </c>
    </row>
    <row r="202" spans="1:32" hidden="1" x14ac:dyDescent="0.35">
      <c r="A202" s="30">
        <v>1017125</v>
      </c>
      <c r="B202" s="30" t="s">
        <v>463</v>
      </c>
      <c r="C202" s="49" t="s">
        <v>12</v>
      </c>
      <c r="D202" s="49" t="s">
        <v>513</v>
      </c>
      <c r="E202" s="49" t="s">
        <v>516</v>
      </c>
      <c r="F202" s="49" t="s">
        <v>385</v>
      </c>
      <c r="G202" s="49" t="s">
        <v>392</v>
      </c>
      <c r="H202" s="49" t="s">
        <v>393</v>
      </c>
      <c r="I202" s="49" t="s">
        <v>77</v>
      </c>
      <c r="J202" s="49" t="s">
        <v>387</v>
      </c>
      <c r="K202" s="49" t="s">
        <v>387</v>
      </c>
      <c r="L202" s="49">
        <v>100</v>
      </c>
      <c r="M202" s="49">
        <v>1700</v>
      </c>
      <c r="N202" s="50">
        <v>1.2195121951219513E-2</v>
      </c>
      <c r="O202" s="51">
        <f>(L202/100)*M202*N202*(20*AE202)</f>
        <v>3731.707317073171</v>
      </c>
      <c r="P202" s="52">
        <v>1547904</v>
      </c>
      <c r="Q202" s="52">
        <v>300000</v>
      </c>
      <c r="R202" s="52">
        <f>IFERROR(P202*(L202/100),"-")</f>
        <v>1547904</v>
      </c>
      <c r="S202" s="52">
        <f>IFERROR(Q202*(L202/100),"-")</f>
        <v>300000</v>
      </c>
      <c r="T202" s="51">
        <f>IFERROR((R202+S202)/(86*12),"-")</f>
        <v>1790.6046511627908</v>
      </c>
      <c r="U202" s="51">
        <f>O202-T202</f>
        <v>1941.1026659103802</v>
      </c>
      <c r="V202" s="54">
        <f>U202/O202</f>
        <v>0.52016476668186651</v>
      </c>
      <c r="W202" s="49" t="s">
        <v>406</v>
      </c>
      <c r="X202" s="30" t="s">
        <v>18</v>
      </c>
      <c r="Y202" s="49" t="s">
        <v>385</v>
      </c>
      <c r="Z202" s="49" t="s">
        <v>389</v>
      </c>
      <c r="AA202" s="49" t="s">
        <v>390</v>
      </c>
      <c r="AB202" s="49" t="s">
        <v>391</v>
      </c>
      <c r="AC202" s="49" t="s">
        <v>392</v>
      </c>
      <c r="AD202" s="49" t="s">
        <v>393</v>
      </c>
      <c r="AE202" s="49">
        <v>9</v>
      </c>
      <c r="AF202" s="49" t="s">
        <v>394</v>
      </c>
    </row>
    <row r="203" spans="1:32" hidden="1" x14ac:dyDescent="0.35">
      <c r="A203" s="30">
        <v>1010769</v>
      </c>
      <c r="B203" s="30" t="s">
        <v>69</v>
      </c>
      <c r="C203" s="49" t="s">
        <v>12</v>
      </c>
      <c r="D203" s="49" t="s">
        <v>513</v>
      </c>
      <c r="E203" s="49" t="s">
        <v>529</v>
      </c>
      <c r="F203" s="49" t="s">
        <v>385</v>
      </c>
      <c r="G203" s="49" t="s">
        <v>392</v>
      </c>
      <c r="H203" s="49" t="s">
        <v>393</v>
      </c>
      <c r="I203" s="49" t="s">
        <v>77</v>
      </c>
      <c r="J203" s="49" t="s">
        <v>387</v>
      </c>
      <c r="K203" s="49" t="s">
        <v>387</v>
      </c>
      <c r="L203" s="49">
        <v>100</v>
      </c>
      <c r="M203" s="49">
        <v>1800</v>
      </c>
      <c r="N203" s="50">
        <v>1.2195121951219513E-2</v>
      </c>
      <c r="O203" s="51">
        <f>(L203/100)*M203*N203*(20*AE203)</f>
        <v>3951.2195121951222</v>
      </c>
      <c r="P203" s="52">
        <v>1637908</v>
      </c>
      <c r="Q203" s="52">
        <v>300000</v>
      </c>
      <c r="R203" s="52">
        <f>IFERROR(P203*(L203/100),"-")</f>
        <v>1637908</v>
      </c>
      <c r="S203" s="52">
        <f>IFERROR(Q203*(L203/100),"-")</f>
        <v>300000</v>
      </c>
      <c r="T203" s="51">
        <f>IFERROR((R203+S203)/(86*12),"-")</f>
        <v>1877.8178294573643</v>
      </c>
      <c r="U203" s="51">
        <f>O203-T203</f>
        <v>2073.4016827377582</v>
      </c>
      <c r="V203" s="54">
        <f>U203/O203</f>
        <v>0.5247498085941239</v>
      </c>
      <c r="W203" s="49" t="s">
        <v>406</v>
      </c>
      <c r="X203" s="30" t="s">
        <v>18</v>
      </c>
      <c r="Y203" s="49" t="s">
        <v>385</v>
      </c>
      <c r="Z203" s="49" t="s">
        <v>389</v>
      </c>
      <c r="AA203" s="49" t="s">
        <v>390</v>
      </c>
      <c r="AB203" s="49" t="s">
        <v>391</v>
      </c>
      <c r="AC203" s="49" t="s">
        <v>392</v>
      </c>
      <c r="AD203" s="49" t="s">
        <v>393</v>
      </c>
      <c r="AE203" s="49">
        <v>9</v>
      </c>
      <c r="AF203" s="49" t="s">
        <v>394</v>
      </c>
    </row>
    <row r="204" spans="1:32" hidden="1" x14ac:dyDescent="0.35">
      <c r="A204" s="30">
        <v>1017372</v>
      </c>
      <c r="B204" s="30" t="s">
        <v>170</v>
      </c>
      <c r="C204" s="49" t="s">
        <v>12</v>
      </c>
      <c r="D204" s="49" t="s">
        <v>513</v>
      </c>
      <c r="E204" s="49" t="s">
        <v>516</v>
      </c>
      <c r="F204" s="49" t="s">
        <v>385</v>
      </c>
      <c r="G204" s="49" t="s">
        <v>392</v>
      </c>
      <c r="H204" s="49" t="s">
        <v>393</v>
      </c>
      <c r="I204" s="49" t="s">
        <v>77</v>
      </c>
      <c r="J204" s="49" t="s">
        <v>387</v>
      </c>
      <c r="K204" s="49" t="s">
        <v>387</v>
      </c>
      <c r="L204" s="49">
        <v>100</v>
      </c>
      <c r="M204" s="49">
        <v>1700</v>
      </c>
      <c r="N204" s="50">
        <v>1.2195121951219513E-2</v>
      </c>
      <c r="O204" s="51">
        <f>(L204/100)*M204*N204*(20*AE204)</f>
        <v>3731.707317073171</v>
      </c>
      <c r="P204" s="52">
        <v>1870008</v>
      </c>
      <c r="Q204" s="52">
        <v>300000</v>
      </c>
      <c r="R204" s="52">
        <f>IFERROR(P204*(L204/100),"-")</f>
        <v>1870008</v>
      </c>
      <c r="S204" s="52">
        <f>IFERROR(Q204*(L204/100),"-")</f>
        <v>300000</v>
      </c>
      <c r="T204" s="51">
        <f>IFERROR((R204+S204)/(86*12),"-")</f>
        <v>2102.7209302325582</v>
      </c>
      <c r="U204" s="51">
        <f>O204-T204</f>
        <v>1628.9863868406128</v>
      </c>
      <c r="V204" s="54">
        <f>U204/O204</f>
        <v>0.43652576379388969</v>
      </c>
      <c r="W204" s="49" t="s">
        <v>406</v>
      </c>
      <c r="X204" s="30" t="s">
        <v>18</v>
      </c>
      <c r="Y204" s="49" t="s">
        <v>385</v>
      </c>
      <c r="Z204" s="49" t="s">
        <v>389</v>
      </c>
      <c r="AA204" s="49" t="s">
        <v>390</v>
      </c>
      <c r="AB204" s="49" t="s">
        <v>391</v>
      </c>
      <c r="AC204" s="49" t="s">
        <v>392</v>
      </c>
      <c r="AD204" s="49" t="s">
        <v>393</v>
      </c>
      <c r="AE204" s="49">
        <v>9</v>
      </c>
      <c r="AF204" s="49" t="s">
        <v>394</v>
      </c>
    </row>
    <row r="205" spans="1:32" x14ac:dyDescent="0.35">
      <c r="A205" s="38">
        <v>1016969</v>
      </c>
      <c r="B205" s="39" t="s">
        <v>177</v>
      </c>
      <c r="I205" s="29" t="s">
        <v>14</v>
      </c>
      <c r="V205" s="36">
        <v>0.30238888888888887</v>
      </c>
      <c r="X205" s="30" t="s">
        <v>18</v>
      </c>
    </row>
    <row r="206" spans="1:32" x14ac:dyDescent="0.35">
      <c r="A206" s="38">
        <v>1101837</v>
      </c>
      <c r="B206" s="39" t="s">
        <v>325</v>
      </c>
      <c r="I206" s="29" t="s">
        <v>14</v>
      </c>
      <c r="V206" s="36">
        <v>0.52083333333333337</v>
      </c>
      <c r="X206" s="30" t="s">
        <v>18</v>
      </c>
    </row>
    <row r="207" spans="1:32" x14ac:dyDescent="0.35">
      <c r="A207" s="38">
        <v>1102171</v>
      </c>
      <c r="B207" s="39" t="s">
        <v>597</v>
      </c>
      <c r="I207" s="29" t="s">
        <v>14</v>
      </c>
      <c r="V207" s="36">
        <v>0.52083333333333337</v>
      </c>
      <c r="X207" s="30" t="s">
        <v>18</v>
      </c>
    </row>
    <row r="208" spans="1:32" hidden="1" x14ac:dyDescent="0.35">
      <c r="A208" s="49">
        <v>1101795</v>
      </c>
      <c r="B208" s="30" t="s">
        <v>482</v>
      </c>
      <c r="C208" s="49" t="s">
        <v>12</v>
      </c>
      <c r="D208" s="49" t="s">
        <v>513</v>
      </c>
      <c r="E208" s="49" t="s">
        <v>516</v>
      </c>
      <c r="F208" s="49" t="s">
        <v>396</v>
      </c>
      <c r="G208" s="49" t="s">
        <v>511</v>
      </c>
      <c r="H208" s="49" t="s">
        <v>533</v>
      </c>
      <c r="I208" s="49" t="s">
        <v>310</v>
      </c>
      <c r="J208" s="49" t="s">
        <v>387</v>
      </c>
      <c r="K208" s="49" t="s">
        <v>387</v>
      </c>
      <c r="L208" s="49">
        <v>100</v>
      </c>
      <c r="M208" s="49">
        <v>1600</v>
      </c>
      <c r="N208" s="50">
        <v>1.2195121951219513E-2</v>
      </c>
      <c r="O208" s="51">
        <f>(L208/100)*M208*N208*(20*AE208)</f>
        <v>3512.1951219512193</v>
      </c>
      <c r="P208" s="52">
        <v>1825008</v>
      </c>
      <c r="Q208" s="52">
        <v>300000</v>
      </c>
      <c r="R208" s="52">
        <f>IFERROR(P208*(L208/100),"-")</f>
        <v>1825008</v>
      </c>
      <c r="S208" s="52">
        <f>IFERROR(Q208*(L208/100),"-")</f>
        <v>300000</v>
      </c>
      <c r="T208" s="51">
        <f>IFERROR((R208+S208)/(86*12),"-")</f>
        <v>2059.1162790697676</v>
      </c>
      <c r="U208" s="51">
        <f>O208-T208</f>
        <v>1453.0788428814517</v>
      </c>
      <c r="V208" s="54">
        <f>U208/O208</f>
        <v>0.41372383720930223</v>
      </c>
      <c r="W208" s="49" t="s">
        <v>483</v>
      </c>
      <c r="X208" s="30" t="s">
        <v>309</v>
      </c>
      <c r="Y208" s="49" t="s">
        <v>396</v>
      </c>
      <c r="Z208" s="49" t="s">
        <v>389</v>
      </c>
      <c r="AA208" s="49" t="s">
        <v>390</v>
      </c>
      <c r="AB208" s="49" t="s">
        <v>391</v>
      </c>
      <c r="AC208" s="49" t="s">
        <v>392</v>
      </c>
      <c r="AD208" s="49" t="s">
        <v>393</v>
      </c>
      <c r="AE208" s="49">
        <v>9</v>
      </c>
      <c r="AF208" s="49" t="s">
        <v>394</v>
      </c>
    </row>
    <row r="209" spans="22:22" x14ac:dyDescent="0.35">
      <c r="V209" s="36"/>
    </row>
    <row r="210" spans="22:22" x14ac:dyDescent="0.35">
      <c r="V210" s="36"/>
    </row>
    <row r="211" spans="22:22" x14ac:dyDescent="0.35">
      <c r="V211" s="36"/>
    </row>
    <row r="212" spans="22:22" x14ac:dyDescent="0.35">
      <c r="V212" s="36"/>
    </row>
    <row r="213" spans="22:22" x14ac:dyDescent="0.35">
      <c r="V213" s="36"/>
    </row>
    <row r="214" spans="22:22" x14ac:dyDescent="0.35">
      <c r="V214" s="36"/>
    </row>
    <row r="215" spans="22:22" x14ac:dyDescent="0.35">
      <c r="V215" s="36"/>
    </row>
    <row r="216" spans="22:22" x14ac:dyDescent="0.35">
      <c r="V216" s="36"/>
    </row>
    <row r="217" spans="22:22" x14ac:dyDescent="0.35">
      <c r="V217" s="36"/>
    </row>
    <row r="218" spans="22:22" x14ac:dyDescent="0.35">
      <c r="V218" s="36"/>
    </row>
    <row r="219" spans="22:22" x14ac:dyDescent="0.35">
      <c r="V219" s="36"/>
    </row>
    <row r="220" spans="22:22" x14ac:dyDescent="0.35">
      <c r="V220" s="36"/>
    </row>
    <row r="221" spans="22:22" x14ac:dyDescent="0.35">
      <c r="V221" s="36"/>
    </row>
    <row r="222" spans="22:22" x14ac:dyDescent="0.35">
      <c r="V222" s="36"/>
    </row>
    <row r="223" spans="22:22" x14ac:dyDescent="0.35">
      <c r="V223" s="36"/>
    </row>
    <row r="224" spans="22:22" x14ac:dyDescent="0.35">
      <c r="V224" s="36"/>
    </row>
    <row r="225" spans="22:22" x14ac:dyDescent="0.35">
      <c r="V225" s="36"/>
    </row>
    <row r="226" spans="22:22" x14ac:dyDescent="0.35">
      <c r="V226" s="36"/>
    </row>
    <row r="227" spans="22:22" x14ac:dyDescent="0.35">
      <c r="V227" s="36"/>
    </row>
    <row r="228" spans="22:22" x14ac:dyDescent="0.35">
      <c r="V228" s="36"/>
    </row>
    <row r="229" spans="22:22" x14ac:dyDescent="0.35">
      <c r="V229" s="36"/>
    </row>
    <row r="230" spans="22:22" x14ac:dyDescent="0.35">
      <c r="V230" s="36"/>
    </row>
    <row r="231" spans="22:22" x14ac:dyDescent="0.35">
      <c r="V231" s="36"/>
    </row>
    <row r="232" spans="22:22" x14ac:dyDescent="0.35">
      <c r="V232" s="36"/>
    </row>
    <row r="233" spans="22:22" x14ac:dyDescent="0.35">
      <c r="V233" s="36"/>
    </row>
    <row r="234" spans="22:22" x14ac:dyDescent="0.35">
      <c r="V234" s="36"/>
    </row>
    <row r="235" spans="22:22" x14ac:dyDescent="0.35">
      <c r="V235" s="36"/>
    </row>
    <row r="236" spans="22:22" x14ac:dyDescent="0.35">
      <c r="V236" s="36"/>
    </row>
    <row r="237" spans="22:22" x14ac:dyDescent="0.35">
      <c r="V237" s="36"/>
    </row>
    <row r="238" spans="22:22" x14ac:dyDescent="0.35">
      <c r="V238" s="36"/>
    </row>
    <row r="239" spans="22:22" x14ac:dyDescent="0.35">
      <c r="V239" s="36"/>
    </row>
    <row r="240" spans="22:22" x14ac:dyDescent="0.35">
      <c r="V240" s="36"/>
    </row>
    <row r="241" spans="22:22" x14ac:dyDescent="0.35">
      <c r="V241" s="36"/>
    </row>
    <row r="242" spans="22:22" x14ac:dyDescent="0.35">
      <c r="V242" s="36"/>
    </row>
    <row r="243" spans="22:22" x14ac:dyDescent="0.35">
      <c r="V243" s="36"/>
    </row>
    <row r="244" spans="22:22" x14ac:dyDescent="0.35">
      <c r="V244" s="36"/>
    </row>
    <row r="245" spans="22:22" x14ac:dyDescent="0.35">
      <c r="V245" s="36"/>
    </row>
    <row r="246" spans="22:22" x14ac:dyDescent="0.35">
      <c r="V246" s="36"/>
    </row>
    <row r="247" spans="22:22" x14ac:dyDescent="0.35">
      <c r="V247" s="36"/>
    </row>
    <row r="248" spans="22:22" x14ac:dyDescent="0.35">
      <c r="V248" s="36"/>
    </row>
    <row r="249" spans="22:22" x14ac:dyDescent="0.35">
      <c r="V249" s="36"/>
    </row>
    <row r="250" spans="22:22" x14ac:dyDescent="0.35">
      <c r="V250" s="36"/>
    </row>
    <row r="251" spans="22:22" x14ac:dyDescent="0.35">
      <c r="V251" s="36"/>
    </row>
    <row r="252" spans="22:22" x14ac:dyDescent="0.35">
      <c r="V252" s="36"/>
    </row>
    <row r="253" spans="22:22" x14ac:dyDescent="0.35">
      <c r="V253" s="36"/>
    </row>
    <row r="254" spans="22:22" x14ac:dyDescent="0.35">
      <c r="V254" s="36"/>
    </row>
    <row r="255" spans="22:22" x14ac:dyDescent="0.35">
      <c r="V255" s="36"/>
    </row>
    <row r="256" spans="22:22" x14ac:dyDescent="0.35">
      <c r="V256" s="36"/>
    </row>
    <row r="257" spans="22:22" x14ac:dyDescent="0.35">
      <c r="V257" s="36"/>
    </row>
    <row r="258" spans="22:22" x14ac:dyDescent="0.35">
      <c r="V258" s="36"/>
    </row>
    <row r="259" spans="22:22" x14ac:dyDescent="0.35">
      <c r="V259" s="36"/>
    </row>
    <row r="260" spans="22:22" x14ac:dyDescent="0.35">
      <c r="V260" s="36"/>
    </row>
    <row r="261" spans="22:22" x14ac:dyDescent="0.35">
      <c r="V261" s="36"/>
    </row>
    <row r="262" spans="22:22" x14ac:dyDescent="0.35">
      <c r="V262" s="36"/>
    </row>
    <row r="263" spans="22:22" x14ac:dyDescent="0.35">
      <c r="V263" s="36"/>
    </row>
    <row r="264" spans="22:22" x14ac:dyDescent="0.35">
      <c r="V264" s="36"/>
    </row>
    <row r="265" spans="22:22" x14ac:dyDescent="0.35">
      <c r="V265" s="36"/>
    </row>
    <row r="266" spans="22:22" x14ac:dyDescent="0.35">
      <c r="V266" s="36"/>
    </row>
    <row r="267" spans="22:22" x14ac:dyDescent="0.35">
      <c r="V267" s="36"/>
    </row>
    <row r="268" spans="22:22" x14ac:dyDescent="0.35">
      <c r="V268" s="36"/>
    </row>
    <row r="269" spans="22:22" x14ac:dyDescent="0.35">
      <c r="V269" s="36"/>
    </row>
    <row r="270" spans="22:22" x14ac:dyDescent="0.35">
      <c r="V270" s="36"/>
    </row>
    <row r="271" spans="22:22" x14ac:dyDescent="0.35">
      <c r="V271" s="36"/>
    </row>
    <row r="272" spans="22:22" x14ac:dyDescent="0.35">
      <c r="V272" s="36"/>
    </row>
    <row r="273" spans="22:22" x14ac:dyDescent="0.35">
      <c r="V273" s="36"/>
    </row>
    <row r="274" spans="22:22" x14ac:dyDescent="0.35">
      <c r="V274" s="36"/>
    </row>
    <row r="275" spans="22:22" x14ac:dyDescent="0.35">
      <c r="V275" s="36"/>
    </row>
    <row r="276" spans="22:22" x14ac:dyDescent="0.35">
      <c r="V276" s="36"/>
    </row>
    <row r="277" spans="22:22" x14ac:dyDescent="0.35">
      <c r="V277" s="36"/>
    </row>
    <row r="278" spans="22:22" x14ac:dyDescent="0.35">
      <c r="V278" s="36"/>
    </row>
    <row r="279" spans="22:22" x14ac:dyDescent="0.35">
      <c r="V279" s="36"/>
    </row>
    <row r="280" spans="22:22" x14ac:dyDescent="0.35">
      <c r="V280" s="36"/>
    </row>
    <row r="281" spans="22:22" x14ac:dyDescent="0.35">
      <c r="V281" s="36"/>
    </row>
    <row r="282" spans="22:22" x14ac:dyDescent="0.35">
      <c r="V282" s="36"/>
    </row>
    <row r="283" spans="22:22" x14ac:dyDescent="0.35">
      <c r="V283" s="36"/>
    </row>
    <row r="284" spans="22:22" x14ac:dyDescent="0.35">
      <c r="V284" s="36"/>
    </row>
    <row r="285" spans="22:22" x14ac:dyDescent="0.35">
      <c r="V285" s="36"/>
    </row>
    <row r="286" spans="22:22" x14ac:dyDescent="0.35">
      <c r="V286" s="36"/>
    </row>
    <row r="287" spans="22:22" x14ac:dyDescent="0.35">
      <c r="V287" s="36"/>
    </row>
    <row r="288" spans="22:22" x14ac:dyDescent="0.35">
      <c r="V288" s="36"/>
    </row>
    <row r="289" spans="22:22" x14ac:dyDescent="0.35">
      <c r="V289" s="36"/>
    </row>
    <row r="290" spans="22:22" x14ac:dyDescent="0.35">
      <c r="V290" s="36"/>
    </row>
    <row r="291" spans="22:22" x14ac:dyDescent="0.35">
      <c r="V291" s="36"/>
    </row>
    <row r="292" spans="22:22" x14ac:dyDescent="0.35">
      <c r="V292" s="36"/>
    </row>
    <row r="293" spans="22:22" x14ac:dyDescent="0.35">
      <c r="V293" s="36"/>
    </row>
    <row r="294" spans="22:22" x14ac:dyDescent="0.35">
      <c r="V294" s="36"/>
    </row>
    <row r="295" spans="22:22" x14ac:dyDescent="0.35">
      <c r="V295" s="36"/>
    </row>
    <row r="296" spans="22:22" x14ac:dyDescent="0.35">
      <c r="V296" s="36"/>
    </row>
    <row r="297" spans="22:22" x14ac:dyDescent="0.35">
      <c r="V297" s="36"/>
    </row>
    <row r="298" spans="22:22" x14ac:dyDescent="0.35">
      <c r="V298" s="36"/>
    </row>
    <row r="299" spans="22:22" x14ac:dyDescent="0.35">
      <c r="V299" s="36"/>
    </row>
    <row r="300" spans="22:22" x14ac:dyDescent="0.35">
      <c r="V300" s="36"/>
    </row>
    <row r="301" spans="22:22" x14ac:dyDescent="0.35">
      <c r="V301" s="36"/>
    </row>
    <row r="302" spans="22:22" x14ac:dyDescent="0.35">
      <c r="V302" s="36"/>
    </row>
    <row r="303" spans="22:22" x14ac:dyDescent="0.35">
      <c r="V303" s="36"/>
    </row>
    <row r="304" spans="22:22" x14ac:dyDescent="0.35">
      <c r="V304" s="36"/>
    </row>
    <row r="305" spans="22:22" x14ac:dyDescent="0.35">
      <c r="V305" s="36"/>
    </row>
    <row r="306" spans="22:22" x14ac:dyDescent="0.35">
      <c r="V306" s="36"/>
    </row>
    <row r="307" spans="22:22" x14ac:dyDescent="0.35">
      <c r="V307" s="36"/>
    </row>
    <row r="308" spans="22:22" x14ac:dyDescent="0.35">
      <c r="V308" s="36"/>
    </row>
    <row r="309" spans="22:22" x14ac:dyDescent="0.35">
      <c r="V309" s="36"/>
    </row>
    <row r="310" spans="22:22" x14ac:dyDescent="0.35">
      <c r="V310" s="36"/>
    </row>
    <row r="311" spans="22:22" x14ac:dyDescent="0.35">
      <c r="V311" s="36"/>
    </row>
    <row r="312" spans="22:22" x14ac:dyDescent="0.35">
      <c r="V312" s="36"/>
    </row>
    <row r="313" spans="22:22" x14ac:dyDescent="0.35">
      <c r="V313" s="36"/>
    </row>
    <row r="314" spans="22:22" x14ac:dyDescent="0.35">
      <c r="V314" s="36"/>
    </row>
    <row r="315" spans="22:22" x14ac:dyDescent="0.35">
      <c r="V315" s="36"/>
    </row>
    <row r="316" spans="22:22" x14ac:dyDescent="0.35">
      <c r="V316" s="36"/>
    </row>
    <row r="317" spans="22:22" x14ac:dyDescent="0.35">
      <c r="V317" s="36"/>
    </row>
    <row r="318" spans="22:22" x14ac:dyDescent="0.35">
      <c r="V318" s="36"/>
    </row>
    <row r="319" spans="22:22" x14ac:dyDescent="0.35">
      <c r="V319" s="36"/>
    </row>
    <row r="320" spans="22:22" x14ac:dyDescent="0.35">
      <c r="V320" s="36"/>
    </row>
    <row r="321" spans="22:22" x14ac:dyDescent="0.35">
      <c r="V321" s="36"/>
    </row>
    <row r="322" spans="22:22" x14ac:dyDescent="0.35">
      <c r="V322" s="36"/>
    </row>
    <row r="323" spans="22:22" x14ac:dyDescent="0.35">
      <c r="V323" s="36"/>
    </row>
    <row r="324" spans="22:22" x14ac:dyDescent="0.35">
      <c r="V324" s="36"/>
    </row>
    <row r="325" spans="22:22" x14ac:dyDescent="0.35">
      <c r="V325" s="36"/>
    </row>
    <row r="326" spans="22:22" x14ac:dyDescent="0.35">
      <c r="V326" s="36"/>
    </row>
    <row r="327" spans="22:22" x14ac:dyDescent="0.35">
      <c r="V327" s="36"/>
    </row>
    <row r="328" spans="22:22" x14ac:dyDescent="0.35">
      <c r="V328" s="36"/>
    </row>
    <row r="329" spans="22:22" x14ac:dyDescent="0.35">
      <c r="V329" s="36"/>
    </row>
    <row r="330" spans="22:22" x14ac:dyDescent="0.35">
      <c r="V330" s="36"/>
    </row>
    <row r="331" spans="22:22" x14ac:dyDescent="0.35">
      <c r="V331" s="36"/>
    </row>
    <row r="332" spans="22:22" x14ac:dyDescent="0.35">
      <c r="V332" s="36"/>
    </row>
    <row r="333" spans="22:22" x14ac:dyDescent="0.35">
      <c r="V333" s="36"/>
    </row>
    <row r="334" spans="22:22" x14ac:dyDescent="0.35">
      <c r="V334" s="36"/>
    </row>
    <row r="335" spans="22:22" x14ac:dyDescent="0.35">
      <c r="V335" s="36"/>
    </row>
    <row r="336" spans="22:22" x14ac:dyDescent="0.35">
      <c r="V336" s="36"/>
    </row>
    <row r="337" spans="22:22" x14ac:dyDescent="0.35">
      <c r="V337" s="36"/>
    </row>
    <row r="338" spans="22:22" x14ac:dyDescent="0.35">
      <c r="V338" s="36"/>
    </row>
    <row r="339" spans="22:22" x14ac:dyDescent="0.35">
      <c r="V339" s="36"/>
    </row>
    <row r="340" spans="22:22" x14ac:dyDescent="0.35">
      <c r="V340" s="36"/>
    </row>
    <row r="341" spans="22:22" x14ac:dyDescent="0.35">
      <c r="V341" s="36"/>
    </row>
    <row r="342" spans="22:22" x14ac:dyDescent="0.35">
      <c r="V342" s="36"/>
    </row>
    <row r="343" spans="22:22" x14ac:dyDescent="0.35">
      <c r="V343" s="36"/>
    </row>
    <row r="344" spans="22:22" x14ac:dyDescent="0.35">
      <c r="V344" s="36"/>
    </row>
    <row r="345" spans="22:22" x14ac:dyDescent="0.35">
      <c r="V345" s="36"/>
    </row>
    <row r="346" spans="22:22" x14ac:dyDescent="0.35">
      <c r="V346" s="36"/>
    </row>
    <row r="347" spans="22:22" x14ac:dyDescent="0.35">
      <c r="V347" s="36"/>
    </row>
    <row r="348" spans="22:22" x14ac:dyDescent="0.35">
      <c r="V348" s="36"/>
    </row>
    <row r="349" spans="22:22" x14ac:dyDescent="0.35">
      <c r="V349" s="36"/>
    </row>
    <row r="350" spans="22:22" x14ac:dyDescent="0.35">
      <c r="V350" s="36"/>
    </row>
    <row r="351" spans="22:22" x14ac:dyDescent="0.35">
      <c r="V351" s="36"/>
    </row>
    <row r="352" spans="22:22" x14ac:dyDescent="0.35">
      <c r="V352" s="36"/>
    </row>
    <row r="353" spans="22:22" x14ac:dyDescent="0.35">
      <c r="V353" s="36"/>
    </row>
    <row r="354" spans="22:22" x14ac:dyDescent="0.35">
      <c r="V354" s="36"/>
    </row>
    <row r="355" spans="22:22" x14ac:dyDescent="0.35">
      <c r="V355" s="36"/>
    </row>
    <row r="356" spans="22:22" x14ac:dyDescent="0.35">
      <c r="V356" s="36"/>
    </row>
    <row r="357" spans="22:22" x14ac:dyDescent="0.35">
      <c r="V357" s="36"/>
    </row>
    <row r="358" spans="22:22" x14ac:dyDescent="0.35">
      <c r="V358" s="36"/>
    </row>
    <row r="359" spans="22:22" x14ac:dyDescent="0.35">
      <c r="V359" s="36"/>
    </row>
    <row r="360" spans="22:22" x14ac:dyDescent="0.35">
      <c r="V360" s="36"/>
    </row>
    <row r="361" spans="22:22" x14ac:dyDescent="0.35">
      <c r="V361" s="36"/>
    </row>
    <row r="362" spans="22:22" x14ac:dyDescent="0.35">
      <c r="V362" s="36"/>
    </row>
    <row r="363" spans="22:22" x14ac:dyDescent="0.35">
      <c r="V363" s="36"/>
    </row>
    <row r="364" spans="22:22" x14ac:dyDescent="0.35">
      <c r="V364" s="36"/>
    </row>
    <row r="365" spans="22:22" x14ac:dyDescent="0.35">
      <c r="V365" s="36"/>
    </row>
    <row r="366" spans="22:22" x14ac:dyDescent="0.35">
      <c r="V366" s="36"/>
    </row>
    <row r="367" spans="22:22" x14ac:dyDescent="0.35">
      <c r="V367" s="36"/>
    </row>
    <row r="368" spans="22:22" x14ac:dyDescent="0.35">
      <c r="V368" s="36"/>
    </row>
    <row r="369" spans="22:22" x14ac:dyDescent="0.35">
      <c r="V369" s="36"/>
    </row>
    <row r="370" spans="22:22" x14ac:dyDescent="0.35">
      <c r="V370" s="36"/>
    </row>
    <row r="371" spans="22:22" x14ac:dyDescent="0.35">
      <c r="V371" s="36"/>
    </row>
    <row r="372" spans="22:22" x14ac:dyDescent="0.35">
      <c r="V372" s="36"/>
    </row>
    <row r="373" spans="22:22" x14ac:dyDescent="0.35">
      <c r="V373" s="36"/>
    </row>
    <row r="374" spans="22:22" x14ac:dyDescent="0.35">
      <c r="V374" s="36"/>
    </row>
    <row r="375" spans="22:22" x14ac:dyDescent="0.35">
      <c r="V375" s="36"/>
    </row>
    <row r="376" spans="22:22" x14ac:dyDescent="0.35">
      <c r="V376" s="36"/>
    </row>
    <row r="377" spans="22:22" x14ac:dyDescent="0.35">
      <c r="V377" s="36"/>
    </row>
    <row r="378" spans="22:22" x14ac:dyDescent="0.35">
      <c r="V378" s="36"/>
    </row>
    <row r="379" spans="22:22" x14ac:dyDescent="0.35">
      <c r="V379" s="36"/>
    </row>
    <row r="380" spans="22:22" x14ac:dyDescent="0.35">
      <c r="V380" s="36"/>
    </row>
    <row r="381" spans="22:22" x14ac:dyDescent="0.35">
      <c r="V381" s="36"/>
    </row>
    <row r="382" spans="22:22" x14ac:dyDescent="0.35">
      <c r="V382" s="36"/>
    </row>
    <row r="383" spans="22:22" x14ac:dyDescent="0.35">
      <c r="V383" s="36"/>
    </row>
    <row r="384" spans="22:22" x14ac:dyDescent="0.35">
      <c r="V384" s="36"/>
    </row>
    <row r="385" spans="22:22" x14ac:dyDescent="0.35">
      <c r="V385" s="36"/>
    </row>
    <row r="386" spans="22:22" x14ac:dyDescent="0.35">
      <c r="V386" s="36"/>
    </row>
    <row r="387" spans="22:22" x14ac:dyDescent="0.35">
      <c r="V387" s="36"/>
    </row>
    <row r="388" spans="22:22" x14ac:dyDescent="0.35">
      <c r="V388" s="36"/>
    </row>
    <row r="389" spans="22:22" x14ac:dyDescent="0.35">
      <c r="V389" s="36"/>
    </row>
    <row r="390" spans="22:22" x14ac:dyDescent="0.35">
      <c r="V390" s="36"/>
    </row>
    <row r="391" spans="22:22" x14ac:dyDescent="0.35">
      <c r="V391" s="36"/>
    </row>
    <row r="392" spans="22:22" x14ac:dyDescent="0.35">
      <c r="V392" s="36"/>
    </row>
    <row r="393" spans="22:22" x14ac:dyDescent="0.35">
      <c r="V393" s="36"/>
    </row>
    <row r="394" spans="22:22" x14ac:dyDescent="0.35">
      <c r="V394" s="36"/>
    </row>
    <row r="395" spans="22:22" x14ac:dyDescent="0.35">
      <c r="V395" s="36"/>
    </row>
    <row r="396" spans="22:22" x14ac:dyDescent="0.35">
      <c r="V396" s="36"/>
    </row>
    <row r="397" spans="22:22" x14ac:dyDescent="0.35">
      <c r="V397" s="36"/>
    </row>
    <row r="398" spans="22:22" x14ac:dyDescent="0.35">
      <c r="V398" s="36"/>
    </row>
    <row r="399" spans="22:22" x14ac:dyDescent="0.35">
      <c r="V399" s="36"/>
    </row>
    <row r="400" spans="22:22" x14ac:dyDescent="0.35">
      <c r="V400" s="36"/>
    </row>
    <row r="401" spans="22:22" x14ac:dyDescent="0.35">
      <c r="V401" s="36"/>
    </row>
    <row r="402" spans="22:22" x14ac:dyDescent="0.35">
      <c r="V402" s="36"/>
    </row>
    <row r="403" spans="22:22" x14ac:dyDescent="0.35">
      <c r="V403" s="36"/>
    </row>
    <row r="404" spans="22:22" x14ac:dyDescent="0.35">
      <c r="V404" s="36"/>
    </row>
    <row r="405" spans="22:22" x14ac:dyDescent="0.35">
      <c r="V405" s="36"/>
    </row>
    <row r="406" spans="22:22" x14ac:dyDescent="0.35">
      <c r="V406" s="36"/>
    </row>
    <row r="407" spans="22:22" x14ac:dyDescent="0.35">
      <c r="V407" s="36"/>
    </row>
    <row r="408" spans="22:22" x14ac:dyDescent="0.35">
      <c r="V408" s="36"/>
    </row>
    <row r="409" spans="22:22" x14ac:dyDescent="0.35">
      <c r="V409" s="36"/>
    </row>
    <row r="410" spans="22:22" x14ac:dyDescent="0.35">
      <c r="V410" s="36"/>
    </row>
    <row r="411" spans="22:22" x14ac:dyDescent="0.35">
      <c r="V411" s="36"/>
    </row>
    <row r="412" spans="22:22" x14ac:dyDescent="0.35">
      <c r="V412" s="36"/>
    </row>
    <row r="413" spans="22:22" x14ac:dyDescent="0.35">
      <c r="V413" s="36"/>
    </row>
    <row r="414" spans="22:22" x14ac:dyDescent="0.35">
      <c r="V414" s="36"/>
    </row>
    <row r="415" spans="22:22" x14ac:dyDescent="0.35">
      <c r="V415" s="36"/>
    </row>
    <row r="416" spans="22:22" x14ac:dyDescent="0.35">
      <c r="V416" s="36"/>
    </row>
    <row r="417" spans="22:22" x14ac:dyDescent="0.35">
      <c r="V417" s="36"/>
    </row>
    <row r="418" spans="22:22" x14ac:dyDescent="0.35">
      <c r="V418" s="36"/>
    </row>
    <row r="419" spans="22:22" x14ac:dyDescent="0.35">
      <c r="V419" s="36"/>
    </row>
    <row r="420" spans="22:22" x14ac:dyDescent="0.35">
      <c r="V420" s="36"/>
    </row>
    <row r="421" spans="22:22" x14ac:dyDescent="0.35">
      <c r="V421" s="36"/>
    </row>
    <row r="422" spans="22:22" x14ac:dyDescent="0.35">
      <c r="V422" s="36"/>
    </row>
    <row r="423" spans="22:22" x14ac:dyDescent="0.35">
      <c r="V423" s="36"/>
    </row>
    <row r="424" spans="22:22" x14ac:dyDescent="0.35">
      <c r="V424" s="36"/>
    </row>
    <row r="425" spans="22:22" x14ac:dyDescent="0.35">
      <c r="V425" s="36"/>
    </row>
    <row r="426" spans="22:22" x14ac:dyDescent="0.35">
      <c r="V426" s="36"/>
    </row>
    <row r="427" spans="22:22" x14ac:dyDescent="0.35">
      <c r="V427" s="36"/>
    </row>
    <row r="428" spans="22:22" x14ac:dyDescent="0.35">
      <c r="V428" s="36"/>
    </row>
    <row r="429" spans="22:22" x14ac:dyDescent="0.35">
      <c r="V429" s="36"/>
    </row>
    <row r="430" spans="22:22" x14ac:dyDescent="0.35">
      <c r="V430" s="36"/>
    </row>
    <row r="431" spans="22:22" x14ac:dyDescent="0.35">
      <c r="V431" s="36"/>
    </row>
    <row r="432" spans="22:22" x14ac:dyDescent="0.35">
      <c r="V432" s="36"/>
    </row>
    <row r="433" spans="22:22" x14ac:dyDescent="0.35">
      <c r="V433" s="36"/>
    </row>
    <row r="434" spans="22:22" x14ac:dyDescent="0.35">
      <c r="V434" s="36"/>
    </row>
    <row r="435" spans="22:22" x14ac:dyDescent="0.35">
      <c r="V435" s="36"/>
    </row>
    <row r="436" spans="22:22" x14ac:dyDescent="0.35">
      <c r="V436" s="36"/>
    </row>
    <row r="437" spans="22:22" x14ac:dyDescent="0.35">
      <c r="V437" s="36"/>
    </row>
    <row r="438" spans="22:22" x14ac:dyDescent="0.35">
      <c r="V438" s="36"/>
    </row>
    <row r="439" spans="22:22" x14ac:dyDescent="0.35">
      <c r="V439" s="36"/>
    </row>
    <row r="440" spans="22:22" x14ac:dyDescent="0.35">
      <c r="V440" s="36"/>
    </row>
    <row r="441" spans="22:22" x14ac:dyDescent="0.35">
      <c r="V441" s="36"/>
    </row>
    <row r="442" spans="22:22" x14ac:dyDescent="0.35">
      <c r="V442" s="36"/>
    </row>
    <row r="443" spans="22:22" x14ac:dyDescent="0.35">
      <c r="V443" s="36"/>
    </row>
    <row r="444" spans="22:22" x14ac:dyDescent="0.35">
      <c r="V444" s="36"/>
    </row>
    <row r="445" spans="22:22" x14ac:dyDescent="0.35">
      <c r="V445" s="36"/>
    </row>
    <row r="446" spans="22:22" x14ac:dyDescent="0.35">
      <c r="V446" s="36"/>
    </row>
    <row r="447" spans="22:22" x14ac:dyDescent="0.35">
      <c r="V447" s="36"/>
    </row>
    <row r="448" spans="22:22" x14ac:dyDescent="0.35">
      <c r="V448" s="36"/>
    </row>
    <row r="449" spans="22:22" x14ac:dyDescent="0.35">
      <c r="V449" s="36"/>
    </row>
    <row r="450" spans="22:22" x14ac:dyDescent="0.35">
      <c r="V450" s="36"/>
    </row>
    <row r="451" spans="22:22" x14ac:dyDescent="0.35">
      <c r="V451" s="36"/>
    </row>
    <row r="452" spans="22:22" x14ac:dyDescent="0.35">
      <c r="V452" s="36"/>
    </row>
    <row r="453" spans="22:22" x14ac:dyDescent="0.35">
      <c r="V453" s="36"/>
    </row>
    <row r="454" spans="22:22" x14ac:dyDescent="0.35">
      <c r="V454" s="36"/>
    </row>
    <row r="455" spans="22:22" x14ac:dyDescent="0.35">
      <c r="V455" s="36"/>
    </row>
    <row r="456" spans="22:22" x14ac:dyDescent="0.35">
      <c r="V456" s="36"/>
    </row>
    <row r="457" spans="22:22" x14ac:dyDescent="0.35">
      <c r="V457" s="36"/>
    </row>
    <row r="458" spans="22:22" x14ac:dyDescent="0.35">
      <c r="V458" s="36"/>
    </row>
    <row r="459" spans="22:22" x14ac:dyDescent="0.35">
      <c r="V459" s="36"/>
    </row>
    <row r="460" spans="22:22" x14ac:dyDescent="0.35">
      <c r="V460" s="36"/>
    </row>
    <row r="461" spans="22:22" x14ac:dyDescent="0.35">
      <c r="V461" s="36"/>
    </row>
    <row r="462" spans="22:22" x14ac:dyDescent="0.35">
      <c r="V462" s="36"/>
    </row>
    <row r="463" spans="22:22" x14ac:dyDescent="0.35">
      <c r="V463" s="36"/>
    </row>
    <row r="464" spans="22:22" x14ac:dyDescent="0.35">
      <c r="V464" s="36"/>
    </row>
    <row r="465" spans="22:22" x14ac:dyDescent="0.35">
      <c r="V465" s="36"/>
    </row>
    <row r="466" spans="22:22" x14ac:dyDescent="0.35">
      <c r="V466" s="36"/>
    </row>
    <row r="467" spans="22:22" x14ac:dyDescent="0.35">
      <c r="V467" s="36"/>
    </row>
    <row r="468" spans="22:22" x14ac:dyDescent="0.35">
      <c r="V468" s="36"/>
    </row>
    <row r="469" spans="22:22" x14ac:dyDescent="0.35">
      <c r="V469" s="36"/>
    </row>
    <row r="470" spans="22:22" x14ac:dyDescent="0.35">
      <c r="V470" s="36"/>
    </row>
    <row r="471" spans="22:22" x14ac:dyDescent="0.35">
      <c r="V471" s="36"/>
    </row>
    <row r="472" spans="22:22" x14ac:dyDescent="0.35">
      <c r="V472" s="36"/>
    </row>
    <row r="473" spans="22:22" x14ac:dyDescent="0.35">
      <c r="V473" s="36"/>
    </row>
    <row r="474" spans="22:22" x14ac:dyDescent="0.35">
      <c r="V474" s="36"/>
    </row>
    <row r="475" spans="22:22" x14ac:dyDescent="0.35">
      <c r="V475" s="36"/>
    </row>
    <row r="476" spans="22:22" x14ac:dyDescent="0.35">
      <c r="V476" s="36"/>
    </row>
    <row r="477" spans="22:22" x14ac:dyDescent="0.35">
      <c r="V477" s="36"/>
    </row>
    <row r="478" spans="22:22" x14ac:dyDescent="0.35">
      <c r="V478" s="36"/>
    </row>
    <row r="479" spans="22:22" x14ac:dyDescent="0.35">
      <c r="V479" s="36"/>
    </row>
    <row r="480" spans="22:22" x14ac:dyDescent="0.35">
      <c r="V480" s="36"/>
    </row>
    <row r="481" spans="22:22" x14ac:dyDescent="0.35">
      <c r="V481" s="36"/>
    </row>
    <row r="482" spans="22:22" x14ac:dyDescent="0.35">
      <c r="V482" s="36"/>
    </row>
    <row r="483" spans="22:22" x14ac:dyDescent="0.35">
      <c r="V483" s="36"/>
    </row>
    <row r="484" spans="22:22" x14ac:dyDescent="0.35">
      <c r="V484" s="36"/>
    </row>
    <row r="485" spans="22:22" x14ac:dyDescent="0.35">
      <c r="V485" s="36"/>
    </row>
    <row r="486" spans="22:22" x14ac:dyDescent="0.35">
      <c r="V486" s="36"/>
    </row>
    <row r="487" spans="22:22" x14ac:dyDescent="0.35">
      <c r="V487" s="36"/>
    </row>
    <row r="488" spans="22:22" x14ac:dyDescent="0.35">
      <c r="V488" s="36"/>
    </row>
    <row r="489" spans="22:22" x14ac:dyDescent="0.35">
      <c r="V489" s="36"/>
    </row>
    <row r="490" spans="22:22" x14ac:dyDescent="0.35">
      <c r="V490" s="36"/>
    </row>
    <row r="491" spans="22:22" x14ac:dyDescent="0.35">
      <c r="V491" s="36"/>
    </row>
    <row r="492" spans="22:22" x14ac:dyDescent="0.35">
      <c r="V492" s="36"/>
    </row>
    <row r="493" spans="22:22" x14ac:dyDescent="0.35">
      <c r="V493" s="36"/>
    </row>
    <row r="494" spans="22:22" x14ac:dyDescent="0.35">
      <c r="V494" s="36"/>
    </row>
    <row r="495" spans="22:22" x14ac:dyDescent="0.35">
      <c r="V495" s="36"/>
    </row>
    <row r="496" spans="22:22" x14ac:dyDescent="0.35">
      <c r="V496" s="36"/>
    </row>
    <row r="497" spans="22:22" x14ac:dyDescent="0.35">
      <c r="V497" s="36"/>
    </row>
    <row r="498" spans="22:22" x14ac:dyDescent="0.35">
      <c r="V498" s="36"/>
    </row>
    <row r="499" spans="22:22" x14ac:dyDescent="0.35">
      <c r="V499" s="36"/>
    </row>
    <row r="500" spans="22:22" x14ac:dyDescent="0.35">
      <c r="V500" s="36"/>
    </row>
    <row r="501" spans="22:22" x14ac:dyDescent="0.35">
      <c r="V501" s="36"/>
    </row>
    <row r="502" spans="22:22" x14ac:dyDescent="0.35">
      <c r="V502" s="36"/>
    </row>
    <row r="503" spans="22:22" x14ac:dyDescent="0.35">
      <c r="V503" s="36"/>
    </row>
    <row r="504" spans="22:22" x14ac:dyDescent="0.35">
      <c r="V504" s="36"/>
    </row>
    <row r="505" spans="22:22" x14ac:dyDescent="0.35">
      <c r="V505" s="36"/>
    </row>
    <row r="506" spans="22:22" x14ac:dyDescent="0.35">
      <c r="V506" s="36"/>
    </row>
    <row r="507" spans="22:22" x14ac:dyDescent="0.35">
      <c r="V507" s="36"/>
    </row>
    <row r="508" spans="22:22" x14ac:dyDescent="0.35">
      <c r="V508" s="36"/>
    </row>
    <row r="509" spans="22:22" x14ac:dyDescent="0.35">
      <c r="V509" s="36"/>
    </row>
    <row r="510" spans="22:22" x14ac:dyDescent="0.35">
      <c r="V510" s="36"/>
    </row>
    <row r="511" spans="22:22" x14ac:dyDescent="0.35">
      <c r="V511" s="36"/>
    </row>
    <row r="512" spans="22:22" x14ac:dyDescent="0.35">
      <c r="V512" s="36"/>
    </row>
    <row r="513" spans="22:22" x14ac:dyDescent="0.35">
      <c r="V513" s="36"/>
    </row>
    <row r="514" spans="22:22" x14ac:dyDescent="0.35">
      <c r="V514" s="36"/>
    </row>
    <row r="515" spans="22:22" x14ac:dyDescent="0.35">
      <c r="V515" s="36"/>
    </row>
    <row r="516" spans="22:22" x14ac:dyDescent="0.35">
      <c r="V516" s="36"/>
    </row>
    <row r="517" spans="22:22" x14ac:dyDescent="0.35">
      <c r="V517" s="36"/>
    </row>
    <row r="518" spans="22:22" x14ac:dyDescent="0.35">
      <c r="V518" s="36"/>
    </row>
    <row r="519" spans="22:22" x14ac:dyDescent="0.35">
      <c r="V519" s="36"/>
    </row>
    <row r="520" spans="22:22" x14ac:dyDescent="0.35">
      <c r="V520" s="36"/>
    </row>
    <row r="521" spans="22:22" x14ac:dyDescent="0.35">
      <c r="V521" s="36"/>
    </row>
    <row r="522" spans="22:22" x14ac:dyDescent="0.35">
      <c r="V522" s="36"/>
    </row>
    <row r="523" spans="22:22" x14ac:dyDescent="0.35">
      <c r="V523" s="36"/>
    </row>
    <row r="524" spans="22:22" x14ac:dyDescent="0.35">
      <c r="V524" s="36"/>
    </row>
    <row r="525" spans="22:22" x14ac:dyDescent="0.35">
      <c r="V525" s="36"/>
    </row>
    <row r="526" spans="22:22" x14ac:dyDescent="0.35">
      <c r="V526" s="36"/>
    </row>
    <row r="527" spans="22:22" x14ac:dyDescent="0.35">
      <c r="V527" s="36"/>
    </row>
    <row r="528" spans="22:22" x14ac:dyDescent="0.35">
      <c r="V528" s="36"/>
    </row>
    <row r="529" spans="22:22" x14ac:dyDescent="0.35">
      <c r="V529" s="36"/>
    </row>
    <row r="530" spans="22:22" x14ac:dyDescent="0.35">
      <c r="V530" s="36"/>
    </row>
    <row r="531" spans="22:22" x14ac:dyDescent="0.35">
      <c r="V531" s="36"/>
    </row>
    <row r="532" spans="22:22" x14ac:dyDescent="0.35">
      <c r="V532" s="36"/>
    </row>
    <row r="533" spans="22:22" x14ac:dyDescent="0.35">
      <c r="V533" s="36"/>
    </row>
    <row r="534" spans="22:22" x14ac:dyDescent="0.35">
      <c r="V534" s="36"/>
    </row>
    <row r="535" spans="22:22" x14ac:dyDescent="0.35">
      <c r="V535" s="36"/>
    </row>
    <row r="536" spans="22:22" x14ac:dyDescent="0.35">
      <c r="V536" s="36"/>
    </row>
    <row r="537" spans="22:22" x14ac:dyDescent="0.35">
      <c r="V537" s="36"/>
    </row>
    <row r="538" spans="22:22" x14ac:dyDescent="0.35">
      <c r="V538" s="36"/>
    </row>
    <row r="539" spans="22:22" x14ac:dyDescent="0.35">
      <c r="V539" s="36"/>
    </row>
    <row r="540" spans="22:22" x14ac:dyDescent="0.35">
      <c r="V540" s="36"/>
    </row>
    <row r="541" spans="22:22" x14ac:dyDescent="0.35">
      <c r="V541" s="36"/>
    </row>
    <row r="542" spans="22:22" x14ac:dyDescent="0.35">
      <c r="V542" s="36"/>
    </row>
    <row r="543" spans="22:22" x14ac:dyDescent="0.35">
      <c r="V543" s="36"/>
    </row>
    <row r="544" spans="22:22" x14ac:dyDescent="0.35">
      <c r="V544" s="36"/>
    </row>
    <row r="545" spans="22:22" x14ac:dyDescent="0.35">
      <c r="V545" s="36"/>
    </row>
    <row r="546" spans="22:22" x14ac:dyDescent="0.35">
      <c r="V546" s="36"/>
    </row>
    <row r="547" spans="22:22" x14ac:dyDescent="0.35">
      <c r="V547" s="36"/>
    </row>
    <row r="548" spans="22:22" x14ac:dyDescent="0.35">
      <c r="V548" s="36"/>
    </row>
    <row r="549" spans="22:22" x14ac:dyDescent="0.35">
      <c r="V549" s="36"/>
    </row>
    <row r="550" spans="22:22" x14ac:dyDescent="0.35">
      <c r="V550" s="36"/>
    </row>
    <row r="551" spans="22:22" x14ac:dyDescent="0.35">
      <c r="V551" s="36"/>
    </row>
    <row r="552" spans="22:22" x14ac:dyDescent="0.35">
      <c r="V552" s="36"/>
    </row>
    <row r="553" spans="22:22" x14ac:dyDescent="0.35">
      <c r="V553" s="36"/>
    </row>
    <row r="554" spans="22:22" x14ac:dyDescent="0.35">
      <c r="V554" s="36"/>
    </row>
    <row r="555" spans="22:22" x14ac:dyDescent="0.35">
      <c r="V555" s="36"/>
    </row>
    <row r="556" spans="22:22" x14ac:dyDescent="0.35">
      <c r="V556" s="36"/>
    </row>
    <row r="557" spans="22:22" x14ac:dyDescent="0.35">
      <c r="V557" s="36"/>
    </row>
    <row r="558" spans="22:22" x14ac:dyDescent="0.35">
      <c r="V558" s="36"/>
    </row>
    <row r="559" spans="22:22" x14ac:dyDescent="0.35">
      <c r="V559" s="36"/>
    </row>
    <row r="560" spans="22:22" x14ac:dyDescent="0.35">
      <c r="V560" s="36"/>
    </row>
    <row r="561" spans="22:22" x14ac:dyDescent="0.35">
      <c r="V561" s="36"/>
    </row>
    <row r="562" spans="22:22" x14ac:dyDescent="0.35">
      <c r="V562" s="36"/>
    </row>
    <row r="563" spans="22:22" x14ac:dyDescent="0.35">
      <c r="V563" s="36"/>
    </row>
    <row r="564" spans="22:22" x14ac:dyDescent="0.35">
      <c r="V564" s="36"/>
    </row>
    <row r="565" spans="22:22" x14ac:dyDescent="0.35">
      <c r="V565" s="36"/>
    </row>
    <row r="566" spans="22:22" x14ac:dyDescent="0.35">
      <c r="V566" s="36"/>
    </row>
    <row r="567" spans="22:22" x14ac:dyDescent="0.35">
      <c r="V567" s="36"/>
    </row>
    <row r="568" spans="22:22" x14ac:dyDescent="0.35">
      <c r="V568" s="36"/>
    </row>
    <row r="569" spans="22:22" x14ac:dyDescent="0.35">
      <c r="V569" s="36"/>
    </row>
    <row r="570" spans="22:22" x14ac:dyDescent="0.35">
      <c r="V570" s="36"/>
    </row>
    <row r="571" spans="22:22" x14ac:dyDescent="0.35">
      <c r="V571" s="36"/>
    </row>
    <row r="572" spans="22:22" x14ac:dyDescent="0.35">
      <c r="V572" s="36"/>
    </row>
    <row r="573" spans="22:22" x14ac:dyDescent="0.35">
      <c r="V573" s="36"/>
    </row>
    <row r="574" spans="22:22" x14ac:dyDescent="0.35">
      <c r="V574" s="36"/>
    </row>
    <row r="575" spans="22:22" x14ac:dyDescent="0.35">
      <c r="V575" s="36"/>
    </row>
    <row r="576" spans="22:22" x14ac:dyDescent="0.35">
      <c r="V576" s="36"/>
    </row>
    <row r="577" spans="22:22" x14ac:dyDescent="0.35">
      <c r="V577" s="36"/>
    </row>
    <row r="578" spans="22:22" x14ac:dyDescent="0.35">
      <c r="V578" s="36"/>
    </row>
    <row r="579" spans="22:22" x14ac:dyDescent="0.35">
      <c r="V579" s="36"/>
    </row>
    <row r="580" spans="22:22" x14ac:dyDescent="0.35">
      <c r="V580" s="36"/>
    </row>
    <row r="581" spans="22:22" x14ac:dyDescent="0.35">
      <c r="V581" s="36"/>
    </row>
    <row r="582" spans="22:22" x14ac:dyDescent="0.35">
      <c r="V582" s="36"/>
    </row>
    <row r="583" spans="22:22" x14ac:dyDescent="0.35">
      <c r="V583" s="36"/>
    </row>
    <row r="584" spans="22:22" x14ac:dyDescent="0.35">
      <c r="V584" s="36"/>
    </row>
    <row r="585" spans="22:22" x14ac:dyDescent="0.35">
      <c r="V585" s="36"/>
    </row>
    <row r="586" spans="22:22" x14ac:dyDescent="0.35">
      <c r="V586" s="36"/>
    </row>
    <row r="587" spans="22:22" x14ac:dyDescent="0.35">
      <c r="V587" s="36"/>
    </row>
    <row r="588" spans="22:22" x14ac:dyDescent="0.35">
      <c r="V588" s="36"/>
    </row>
    <row r="589" spans="22:22" x14ac:dyDescent="0.35">
      <c r="V589" s="36"/>
    </row>
    <row r="590" spans="22:22" x14ac:dyDescent="0.35">
      <c r="V590" s="36"/>
    </row>
    <row r="591" spans="22:22" x14ac:dyDescent="0.35">
      <c r="V591" s="36"/>
    </row>
    <row r="592" spans="22:22" x14ac:dyDescent="0.35">
      <c r="V592" s="36"/>
    </row>
    <row r="593" spans="22:22" x14ac:dyDescent="0.35">
      <c r="V593" s="36"/>
    </row>
    <row r="594" spans="22:22" x14ac:dyDescent="0.35">
      <c r="V594" s="36"/>
    </row>
    <row r="595" spans="22:22" x14ac:dyDescent="0.35">
      <c r="V595" s="36"/>
    </row>
    <row r="596" spans="22:22" x14ac:dyDescent="0.35">
      <c r="V596" s="36"/>
    </row>
    <row r="597" spans="22:22" x14ac:dyDescent="0.35">
      <c r="V597" s="36"/>
    </row>
    <row r="598" spans="22:22" x14ac:dyDescent="0.35">
      <c r="V598" s="36"/>
    </row>
    <row r="599" spans="22:22" x14ac:dyDescent="0.35">
      <c r="V599" s="36"/>
    </row>
    <row r="600" spans="22:22" x14ac:dyDescent="0.35">
      <c r="V600" s="36"/>
    </row>
    <row r="601" spans="22:22" x14ac:dyDescent="0.35">
      <c r="V601" s="36"/>
    </row>
    <row r="602" spans="22:22" x14ac:dyDescent="0.35">
      <c r="V602" s="36"/>
    </row>
    <row r="603" spans="22:22" x14ac:dyDescent="0.35">
      <c r="V603" s="36"/>
    </row>
    <row r="604" spans="22:22" x14ac:dyDescent="0.35">
      <c r="V604" s="36"/>
    </row>
    <row r="605" spans="22:22" x14ac:dyDescent="0.35">
      <c r="V605" s="36"/>
    </row>
    <row r="606" spans="22:22" x14ac:dyDescent="0.35">
      <c r="V606" s="36"/>
    </row>
    <row r="607" spans="22:22" x14ac:dyDescent="0.35">
      <c r="V607" s="36"/>
    </row>
    <row r="608" spans="22:22" x14ac:dyDescent="0.35">
      <c r="V608" s="36"/>
    </row>
    <row r="609" spans="22:22" x14ac:dyDescent="0.35">
      <c r="V609" s="36"/>
    </row>
    <row r="610" spans="22:22" x14ac:dyDescent="0.35">
      <c r="V610" s="36"/>
    </row>
    <row r="611" spans="22:22" x14ac:dyDescent="0.35">
      <c r="V611" s="36"/>
    </row>
    <row r="612" spans="22:22" x14ac:dyDescent="0.35">
      <c r="V612" s="36"/>
    </row>
    <row r="613" spans="22:22" x14ac:dyDescent="0.35">
      <c r="V613" s="36"/>
    </row>
    <row r="614" spans="22:22" x14ac:dyDescent="0.35">
      <c r="V614" s="36"/>
    </row>
    <row r="615" spans="22:22" x14ac:dyDescent="0.35">
      <c r="V615" s="36"/>
    </row>
    <row r="616" spans="22:22" x14ac:dyDescent="0.35">
      <c r="V616" s="36"/>
    </row>
    <row r="617" spans="22:22" x14ac:dyDescent="0.35">
      <c r="V617" s="36"/>
    </row>
    <row r="618" spans="22:22" x14ac:dyDescent="0.35">
      <c r="V618" s="36"/>
    </row>
    <row r="619" spans="22:22" x14ac:dyDescent="0.35">
      <c r="V619" s="36"/>
    </row>
    <row r="620" spans="22:22" x14ac:dyDescent="0.35">
      <c r="V620" s="36"/>
    </row>
    <row r="621" spans="22:22" x14ac:dyDescent="0.35">
      <c r="V621" s="36"/>
    </row>
    <row r="622" spans="22:22" x14ac:dyDescent="0.35">
      <c r="V622" s="36"/>
    </row>
    <row r="623" spans="22:22" x14ac:dyDescent="0.35">
      <c r="V623" s="36"/>
    </row>
    <row r="624" spans="22:22" x14ac:dyDescent="0.35">
      <c r="V624" s="36"/>
    </row>
    <row r="625" spans="22:22" x14ac:dyDescent="0.35">
      <c r="V625" s="36"/>
    </row>
    <row r="626" spans="22:22" x14ac:dyDescent="0.35">
      <c r="V626" s="36"/>
    </row>
    <row r="627" spans="22:22" x14ac:dyDescent="0.35">
      <c r="V627" s="36"/>
    </row>
    <row r="628" spans="22:22" x14ac:dyDescent="0.35">
      <c r="V628" s="36"/>
    </row>
    <row r="629" spans="22:22" x14ac:dyDescent="0.35">
      <c r="V629" s="36"/>
    </row>
    <row r="630" spans="22:22" x14ac:dyDescent="0.35">
      <c r="V630" s="36"/>
    </row>
    <row r="631" spans="22:22" x14ac:dyDescent="0.35">
      <c r="V631" s="36"/>
    </row>
    <row r="632" spans="22:22" x14ac:dyDescent="0.35">
      <c r="V632" s="36"/>
    </row>
    <row r="633" spans="22:22" x14ac:dyDescent="0.35">
      <c r="V633" s="36"/>
    </row>
    <row r="634" spans="22:22" x14ac:dyDescent="0.35">
      <c r="V634" s="36"/>
    </row>
    <row r="635" spans="22:22" x14ac:dyDescent="0.35">
      <c r="V635" s="36"/>
    </row>
    <row r="636" spans="22:22" x14ac:dyDescent="0.35">
      <c r="V636" s="36"/>
    </row>
    <row r="637" spans="22:22" x14ac:dyDescent="0.35">
      <c r="V637" s="36"/>
    </row>
    <row r="638" spans="22:22" x14ac:dyDescent="0.35">
      <c r="V638" s="36"/>
    </row>
    <row r="639" spans="22:22" x14ac:dyDescent="0.35">
      <c r="V639" s="36"/>
    </row>
    <row r="640" spans="22:22" x14ac:dyDescent="0.35">
      <c r="V640" s="36"/>
    </row>
    <row r="641" spans="22:22" x14ac:dyDescent="0.35">
      <c r="V641" s="36"/>
    </row>
    <row r="642" spans="22:22" x14ac:dyDescent="0.35">
      <c r="V642" s="36"/>
    </row>
    <row r="643" spans="22:22" x14ac:dyDescent="0.35">
      <c r="V643" s="36"/>
    </row>
    <row r="644" spans="22:22" x14ac:dyDescent="0.35">
      <c r="V644" s="36"/>
    </row>
    <row r="645" spans="22:22" x14ac:dyDescent="0.35">
      <c r="V645" s="36"/>
    </row>
    <row r="646" spans="22:22" x14ac:dyDescent="0.35">
      <c r="V646" s="36"/>
    </row>
    <row r="647" spans="22:22" x14ac:dyDescent="0.35">
      <c r="V647" s="36"/>
    </row>
    <row r="648" spans="22:22" x14ac:dyDescent="0.35">
      <c r="V648" s="36"/>
    </row>
    <row r="649" spans="22:22" x14ac:dyDescent="0.35">
      <c r="V649" s="36"/>
    </row>
    <row r="650" spans="22:22" x14ac:dyDescent="0.35">
      <c r="V650" s="36"/>
    </row>
    <row r="651" spans="22:22" x14ac:dyDescent="0.35">
      <c r="V651" s="36"/>
    </row>
    <row r="652" spans="22:22" x14ac:dyDescent="0.35">
      <c r="V652" s="36"/>
    </row>
    <row r="653" spans="22:22" x14ac:dyDescent="0.35">
      <c r="V653" s="36"/>
    </row>
    <row r="654" spans="22:22" x14ac:dyDescent="0.35">
      <c r="V654" s="36"/>
    </row>
    <row r="655" spans="22:22" x14ac:dyDescent="0.35">
      <c r="V655" s="36"/>
    </row>
    <row r="656" spans="22:22" x14ac:dyDescent="0.35">
      <c r="V656" s="36"/>
    </row>
    <row r="657" spans="22:22" x14ac:dyDescent="0.35">
      <c r="V657" s="36"/>
    </row>
    <row r="658" spans="22:22" x14ac:dyDescent="0.35">
      <c r="V658" s="36"/>
    </row>
    <row r="659" spans="22:22" x14ac:dyDescent="0.35">
      <c r="V659" s="36"/>
    </row>
    <row r="660" spans="22:22" x14ac:dyDescent="0.35">
      <c r="V660" s="36"/>
    </row>
    <row r="661" spans="22:22" x14ac:dyDescent="0.35">
      <c r="V661" s="36"/>
    </row>
    <row r="662" spans="22:22" x14ac:dyDescent="0.35">
      <c r="V662" s="36"/>
    </row>
    <row r="663" spans="22:22" x14ac:dyDescent="0.35">
      <c r="V663" s="36"/>
    </row>
    <row r="664" spans="22:22" x14ac:dyDescent="0.35">
      <c r="V664" s="36"/>
    </row>
    <row r="665" spans="22:22" x14ac:dyDescent="0.35">
      <c r="V665" s="36"/>
    </row>
    <row r="666" spans="22:22" x14ac:dyDescent="0.35">
      <c r="V666" s="36"/>
    </row>
    <row r="667" spans="22:22" x14ac:dyDescent="0.35">
      <c r="V667" s="36"/>
    </row>
    <row r="668" spans="22:22" x14ac:dyDescent="0.35">
      <c r="V668" s="36"/>
    </row>
    <row r="669" spans="22:22" x14ac:dyDescent="0.35">
      <c r="V669" s="36"/>
    </row>
    <row r="670" spans="22:22" x14ac:dyDescent="0.35">
      <c r="V670" s="36"/>
    </row>
    <row r="671" spans="22:22" x14ac:dyDescent="0.35">
      <c r="V671" s="36"/>
    </row>
    <row r="672" spans="22:22" x14ac:dyDescent="0.35">
      <c r="V672" s="36"/>
    </row>
    <row r="673" spans="22:22" x14ac:dyDescent="0.35">
      <c r="V673" s="36"/>
    </row>
    <row r="674" spans="22:22" x14ac:dyDescent="0.35">
      <c r="V674" s="36"/>
    </row>
    <row r="675" spans="22:22" x14ac:dyDescent="0.35">
      <c r="V675" s="36"/>
    </row>
    <row r="676" spans="22:22" x14ac:dyDescent="0.35">
      <c r="V676" s="36"/>
    </row>
    <row r="677" spans="22:22" x14ac:dyDescent="0.35">
      <c r="V677" s="36"/>
    </row>
    <row r="678" spans="22:22" x14ac:dyDescent="0.35">
      <c r="V678" s="36"/>
    </row>
    <row r="679" spans="22:22" x14ac:dyDescent="0.35">
      <c r="V679" s="36"/>
    </row>
    <row r="680" spans="22:22" x14ac:dyDescent="0.35">
      <c r="V680" s="36"/>
    </row>
    <row r="681" spans="22:22" x14ac:dyDescent="0.35">
      <c r="V681" s="36"/>
    </row>
    <row r="682" spans="22:22" x14ac:dyDescent="0.35">
      <c r="V682" s="36"/>
    </row>
    <row r="683" spans="22:22" x14ac:dyDescent="0.35">
      <c r="V683" s="36"/>
    </row>
    <row r="684" spans="22:22" x14ac:dyDescent="0.35">
      <c r="V684" s="36"/>
    </row>
    <row r="685" spans="22:22" x14ac:dyDescent="0.35">
      <c r="V685" s="36"/>
    </row>
    <row r="686" spans="22:22" x14ac:dyDescent="0.35">
      <c r="V686" s="36"/>
    </row>
    <row r="687" spans="22:22" x14ac:dyDescent="0.35">
      <c r="V687" s="36"/>
    </row>
    <row r="688" spans="22:22" x14ac:dyDescent="0.35">
      <c r="V688" s="36"/>
    </row>
    <row r="689" spans="22:22" x14ac:dyDescent="0.35">
      <c r="V689" s="36"/>
    </row>
    <row r="690" spans="22:22" x14ac:dyDescent="0.35">
      <c r="V690" s="36"/>
    </row>
    <row r="691" spans="22:22" x14ac:dyDescent="0.35">
      <c r="V691" s="36"/>
    </row>
    <row r="692" spans="22:22" x14ac:dyDescent="0.35">
      <c r="V692" s="36"/>
    </row>
    <row r="693" spans="22:22" x14ac:dyDescent="0.35">
      <c r="V693" s="36"/>
    </row>
    <row r="694" spans="22:22" x14ac:dyDescent="0.35">
      <c r="V694" s="36"/>
    </row>
    <row r="695" spans="22:22" x14ac:dyDescent="0.35">
      <c r="V695" s="36"/>
    </row>
    <row r="696" spans="22:22" x14ac:dyDescent="0.35">
      <c r="V696" s="36"/>
    </row>
    <row r="697" spans="22:22" x14ac:dyDescent="0.35">
      <c r="V697" s="36"/>
    </row>
    <row r="698" spans="22:22" x14ac:dyDescent="0.35">
      <c r="V698" s="36"/>
    </row>
    <row r="699" spans="22:22" x14ac:dyDescent="0.35">
      <c r="V699" s="36"/>
    </row>
    <row r="700" spans="22:22" x14ac:dyDescent="0.35">
      <c r="V700" s="36"/>
    </row>
    <row r="701" spans="22:22" x14ac:dyDescent="0.35">
      <c r="V701" s="36"/>
    </row>
    <row r="702" spans="22:22" x14ac:dyDescent="0.35">
      <c r="V702" s="36"/>
    </row>
    <row r="703" spans="22:22" x14ac:dyDescent="0.35">
      <c r="V703" s="36"/>
    </row>
    <row r="704" spans="22:22" x14ac:dyDescent="0.35">
      <c r="V704" s="36"/>
    </row>
    <row r="705" spans="22:22" x14ac:dyDescent="0.35">
      <c r="V705" s="36"/>
    </row>
    <row r="706" spans="22:22" x14ac:dyDescent="0.35">
      <c r="V706" s="36"/>
    </row>
    <row r="707" spans="22:22" x14ac:dyDescent="0.35">
      <c r="V707" s="36"/>
    </row>
    <row r="708" spans="22:22" x14ac:dyDescent="0.35">
      <c r="V708" s="36"/>
    </row>
    <row r="709" spans="22:22" x14ac:dyDescent="0.35">
      <c r="V709" s="36"/>
    </row>
    <row r="710" spans="22:22" x14ac:dyDescent="0.35">
      <c r="V710" s="36"/>
    </row>
    <row r="711" spans="22:22" x14ac:dyDescent="0.35">
      <c r="V711" s="36"/>
    </row>
    <row r="712" spans="22:22" x14ac:dyDescent="0.35">
      <c r="V712" s="36"/>
    </row>
    <row r="713" spans="22:22" x14ac:dyDescent="0.35">
      <c r="V713" s="36"/>
    </row>
    <row r="714" spans="22:22" x14ac:dyDescent="0.35">
      <c r="V714" s="36"/>
    </row>
    <row r="715" spans="22:22" x14ac:dyDescent="0.35">
      <c r="V715" s="36"/>
    </row>
    <row r="716" spans="22:22" x14ac:dyDescent="0.35">
      <c r="V716" s="36"/>
    </row>
    <row r="717" spans="22:22" x14ac:dyDescent="0.35">
      <c r="V717" s="36"/>
    </row>
    <row r="718" spans="22:22" x14ac:dyDescent="0.35">
      <c r="V718" s="36"/>
    </row>
    <row r="719" spans="22:22" x14ac:dyDescent="0.35">
      <c r="V719" s="36"/>
    </row>
    <row r="720" spans="22:22" x14ac:dyDescent="0.35">
      <c r="V720" s="36"/>
    </row>
    <row r="721" spans="22:22" x14ac:dyDescent="0.35">
      <c r="V721" s="36"/>
    </row>
    <row r="722" spans="22:22" x14ac:dyDescent="0.35">
      <c r="V722" s="36"/>
    </row>
    <row r="723" spans="22:22" x14ac:dyDescent="0.35">
      <c r="V723" s="36"/>
    </row>
    <row r="724" spans="22:22" x14ac:dyDescent="0.35">
      <c r="V724" s="36"/>
    </row>
    <row r="725" spans="22:22" x14ac:dyDescent="0.35">
      <c r="V725" s="36"/>
    </row>
    <row r="726" spans="22:22" x14ac:dyDescent="0.35">
      <c r="V726" s="36"/>
    </row>
    <row r="727" spans="22:22" x14ac:dyDescent="0.35">
      <c r="V727" s="36"/>
    </row>
    <row r="728" spans="22:22" x14ac:dyDescent="0.35">
      <c r="V728" s="36"/>
    </row>
    <row r="729" spans="22:22" x14ac:dyDescent="0.35">
      <c r="V729" s="36"/>
    </row>
    <row r="730" spans="22:22" x14ac:dyDescent="0.35">
      <c r="V730" s="36"/>
    </row>
    <row r="731" spans="22:22" x14ac:dyDescent="0.35">
      <c r="V731" s="36"/>
    </row>
    <row r="732" spans="22:22" x14ac:dyDescent="0.35">
      <c r="V732" s="36"/>
    </row>
    <row r="733" spans="22:22" x14ac:dyDescent="0.35">
      <c r="V733" s="36"/>
    </row>
    <row r="734" spans="22:22" x14ac:dyDescent="0.35">
      <c r="V734" s="36"/>
    </row>
    <row r="735" spans="22:22" x14ac:dyDescent="0.35">
      <c r="V735" s="36"/>
    </row>
    <row r="736" spans="22:22" x14ac:dyDescent="0.35">
      <c r="V736" s="36"/>
    </row>
    <row r="737" spans="22:22" x14ac:dyDescent="0.35">
      <c r="V737" s="36"/>
    </row>
    <row r="738" spans="22:22" x14ac:dyDescent="0.35">
      <c r="V738" s="36"/>
    </row>
    <row r="739" spans="22:22" x14ac:dyDescent="0.35">
      <c r="V739" s="36"/>
    </row>
    <row r="740" spans="22:22" x14ac:dyDescent="0.35">
      <c r="V740" s="36"/>
    </row>
    <row r="741" spans="22:22" x14ac:dyDescent="0.35">
      <c r="V741" s="36"/>
    </row>
    <row r="742" spans="22:22" x14ac:dyDescent="0.35">
      <c r="V742" s="36"/>
    </row>
    <row r="743" spans="22:22" x14ac:dyDescent="0.35">
      <c r="V743" s="36"/>
    </row>
    <row r="744" spans="22:22" x14ac:dyDescent="0.35">
      <c r="V744" s="36"/>
    </row>
    <row r="745" spans="22:22" x14ac:dyDescent="0.35">
      <c r="V745" s="36"/>
    </row>
    <row r="746" spans="22:22" x14ac:dyDescent="0.35">
      <c r="V746" s="36"/>
    </row>
    <row r="747" spans="22:22" x14ac:dyDescent="0.35">
      <c r="V747" s="36"/>
    </row>
    <row r="748" spans="22:22" x14ac:dyDescent="0.35">
      <c r="V748" s="36"/>
    </row>
    <row r="749" spans="22:22" x14ac:dyDescent="0.35">
      <c r="V749" s="36"/>
    </row>
    <row r="750" spans="22:22" x14ac:dyDescent="0.35">
      <c r="V750" s="36"/>
    </row>
    <row r="751" spans="22:22" x14ac:dyDescent="0.35">
      <c r="V751" s="36"/>
    </row>
    <row r="752" spans="22:22" x14ac:dyDescent="0.35">
      <c r="V752" s="36"/>
    </row>
    <row r="753" spans="22:22" x14ac:dyDescent="0.35">
      <c r="V753" s="36"/>
    </row>
    <row r="754" spans="22:22" x14ac:dyDescent="0.35">
      <c r="V754" s="36"/>
    </row>
    <row r="755" spans="22:22" x14ac:dyDescent="0.35">
      <c r="V755" s="36"/>
    </row>
    <row r="756" spans="22:22" x14ac:dyDescent="0.35">
      <c r="V756" s="36"/>
    </row>
    <row r="757" spans="22:22" x14ac:dyDescent="0.35">
      <c r="V757" s="36"/>
    </row>
    <row r="758" spans="22:22" x14ac:dyDescent="0.35">
      <c r="V758" s="36"/>
    </row>
    <row r="759" spans="22:22" x14ac:dyDescent="0.35">
      <c r="V759" s="36"/>
    </row>
    <row r="760" spans="22:22" x14ac:dyDescent="0.35">
      <c r="V760" s="36"/>
    </row>
    <row r="761" spans="22:22" x14ac:dyDescent="0.35">
      <c r="V761" s="36"/>
    </row>
    <row r="762" spans="22:22" x14ac:dyDescent="0.35">
      <c r="V762" s="36"/>
    </row>
    <row r="763" spans="22:22" x14ac:dyDescent="0.35">
      <c r="V763" s="36"/>
    </row>
    <row r="764" spans="22:22" x14ac:dyDescent="0.35">
      <c r="V764" s="36"/>
    </row>
    <row r="765" spans="22:22" x14ac:dyDescent="0.35">
      <c r="V765" s="36"/>
    </row>
    <row r="766" spans="22:22" x14ac:dyDescent="0.35">
      <c r="V766" s="36"/>
    </row>
    <row r="767" spans="22:22" x14ac:dyDescent="0.35">
      <c r="V767" s="36"/>
    </row>
    <row r="768" spans="22:22" x14ac:dyDescent="0.35">
      <c r="V768" s="36"/>
    </row>
    <row r="769" spans="22:22" x14ac:dyDescent="0.35">
      <c r="V769" s="36"/>
    </row>
    <row r="770" spans="22:22" x14ac:dyDescent="0.35">
      <c r="V770" s="36"/>
    </row>
    <row r="771" spans="22:22" x14ac:dyDescent="0.35">
      <c r="V771" s="36"/>
    </row>
    <row r="772" spans="22:22" x14ac:dyDescent="0.35">
      <c r="V772" s="36"/>
    </row>
    <row r="773" spans="22:22" x14ac:dyDescent="0.35">
      <c r="V773" s="36"/>
    </row>
    <row r="774" spans="22:22" x14ac:dyDescent="0.35">
      <c r="V774" s="36"/>
    </row>
    <row r="775" spans="22:22" x14ac:dyDescent="0.35">
      <c r="V775" s="36"/>
    </row>
    <row r="776" spans="22:22" x14ac:dyDescent="0.35">
      <c r="V776" s="36"/>
    </row>
    <row r="777" spans="22:22" x14ac:dyDescent="0.35">
      <c r="V777" s="36"/>
    </row>
    <row r="778" spans="22:22" x14ac:dyDescent="0.35">
      <c r="V778" s="36"/>
    </row>
    <row r="779" spans="22:22" x14ac:dyDescent="0.35">
      <c r="V779" s="36"/>
    </row>
    <row r="780" spans="22:22" x14ac:dyDescent="0.35">
      <c r="V780" s="36"/>
    </row>
    <row r="781" spans="22:22" x14ac:dyDescent="0.35">
      <c r="V781" s="36"/>
    </row>
    <row r="782" spans="22:22" x14ac:dyDescent="0.35">
      <c r="V782" s="36"/>
    </row>
    <row r="783" spans="22:22" x14ac:dyDescent="0.35">
      <c r="V783" s="36"/>
    </row>
    <row r="784" spans="22:22" x14ac:dyDescent="0.35">
      <c r="V784" s="36"/>
    </row>
    <row r="785" spans="22:22" x14ac:dyDescent="0.35">
      <c r="V785" s="36"/>
    </row>
    <row r="786" spans="22:22" x14ac:dyDescent="0.35">
      <c r="V786" s="36"/>
    </row>
    <row r="787" spans="22:22" x14ac:dyDescent="0.35">
      <c r="V787" s="36"/>
    </row>
    <row r="788" spans="22:22" x14ac:dyDescent="0.35">
      <c r="V788" s="36"/>
    </row>
    <row r="789" spans="22:22" x14ac:dyDescent="0.35">
      <c r="V789" s="36"/>
    </row>
    <row r="790" spans="22:22" x14ac:dyDescent="0.35">
      <c r="V790" s="36"/>
    </row>
    <row r="791" spans="22:22" x14ac:dyDescent="0.35">
      <c r="V791" s="36"/>
    </row>
    <row r="792" spans="22:22" x14ac:dyDescent="0.35">
      <c r="V792" s="36"/>
    </row>
    <row r="793" spans="22:22" x14ac:dyDescent="0.35">
      <c r="V793" s="36"/>
    </row>
    <row r="794" spans="22:22" x14ac:dyDescent="0.35">
      <c r="V794" s="36"/>
    </row>
    <row r="795" spans="22:22" x14ac:dyDescent="0.35">
      <c r="V795" s="36"/>
    </row>
    <row r="796" spans="22:22" x14ac:dyDescent="0.35">
      <c r="V796" s="36"/>
    </row>
    <row r="797" spans="22:22" x14ac:dyDescent="0.35">
      <c r="V797" s="36"/>
    </row>
    <row r="798" spans="22:22" x14ac:dyDescent="0.35">
      <c r="V798" s="36"/>
    </row>
    <row r="799" spans="22:22" x14ac:dyDescent="0.35">
      <c r="V799" s="36"/>
    </row>
    <row r="800" spans="22:22" x14ac:dyDescent="0.35">
      <c r="V800" s="36"/>
    </row>
    <row r="801" spans="22:22" x14ac:dyDescent="0.35">
      <c r="V801" s="36"/>
    </row>
    <row r="802" spans="22:22" x14ac:dyDescent="0.35">
      <c r="V802" s="36"/>
    </row>
    <row r="803" spans="22:22" x14ac:dyDescent="0.35">
      <c r="V803" s="36"/>
    </row>
    <row r="804" spans="22:22" x14ac:dyDescent="0.35">
      <c r="V804" s="36"/>
    </row>
    <row r="805" spans="22:22" x14ac:dyDescent="0.35">
      <c r="V805" s="36"/>
    </row>
    <row r="806" spans="22:22" x14ac:dyDescent="0.35">
      <c r="V806" s="36"/>
    </row>
    <row r="807" spans="22:22" x14ac:dyDescent="0.35">
      <c r="V807" s="36"/>
    </row>
    <row r="808" spans="22:22" x14ac:dyDescent="0.35">
      <c r="V808" s="36"/>
    </row>
    <row r="809" spans="22:22" x14ac:dyDescent="0.35">
      <c r="V809" s="36"/>
    </row>
    <row r="810" spans="22:22" x14ac:dyDescent="0.35">
      <c r="V810" s="36"/>
    </row>
    <row r="811" spans="22:22" x14ac:dyDescent="0.35">
      <c r="V811" s="36"/>
    </row>
    <row r="812" spans="22:22" x14ac:dyDescent="0.35">
      <c r="V812" s="36"/>
    </row>
    <row r="813" spans="22:22" x14ac:dyDescent="0.35">
      <c r="V813" s="36"/>
    </row>
    <row r="814" spans="22:22" x14ac:dyDescent="0.35">
      <c r="V814" s="36"/>
    </row>
    <row r="815" spans="22:22" x14ac:dyDescent="0.35">
      <c r="V815" s="36"/>
    </row>
    <row r="816" spans="22:22" x14ac:dyDescent="0.35">
      <c r="V816" s="36"/>
    </row>
    <row r="817" spans="22:22" x14ac:dyDescent="0.35">
      <c r="V817" s="36"/>
    </row>
    <row r="818" spans="22:22" x14ac:dyDescent="0.35">
      <c r="V818" s="36"/>
    </row>
    <row r="819" spans="22:22" x14ac:dyDescent="0.35">
      <c r="V819" s="36"/>
    </row>
    <row r="820" spans="22:22" x14ac:dyDescent="0.35">
      <c r="V820" s="36"/>
    </row>
    <row r="821" spans="22:22" x14ac:dyDescent="0.35">
      <c r="V821" s="36"/>
    </row>
    <row r="822" spans="22:22" x14ac:dyDescent="0.35">
      <c r="V822" s="36"/>
    </row>
    <row r="823" spans="22:22" x14ac:dyDescent="0.35">
      <c r="V823" s="36"/>
    </row>
    <row r="824" spans="22:22" x14ac:dyDescent="0.35">
      <c r="V824" s="36"/>
    </row>
    <row r="825" spans="22:22" x14ac:dyDescent="0.35">
      <c r="V825" s="36"/>
    </row>
    <row r="826" spans="22:22" x14ac:dyDescent="0.35">
      <c r="V826" s="36"/>
    </row>
    <row r="827" spans="22:22" x14ac:dyDescent="0.35">
      <c r="V827" s="36"/>
    </row>
    <row r="828" spans="22:22" x14ac:dyDescent="0.35">
      <c r="V828" s="36"/>
    </row>
    <row r="829" spans="22:22" x14ac:dyDescent="0.35">
      <c r="V829" s="36"/>
    </row>
    <row r="830" spans="22:22" x14ac:dyDescent="0.35">
      <c r="V830" s="36"/>
    </row>
    <row r="831" spans="22:22" x14ac:dyDescent="0.35">
      <c r="V831" s="36"/>
    </row>
    <row r="832" spans="22:22" x14ac:dyDescent="0.35">
      <c r="V832" s="36"/>
    </row>
    <row r="833" spans="22:22" x14ac:dyDescent="0.35">
      <c r="V833" s="36"/>
    </row>
    <row r="834" spans="22:22" x14ac:dyDescent="0.35">
      <c r="V834" s="36"/>
    </row>
    <row r="835" spans="22:22" x14ac:dyDescent="0.35">
      <c r="V835" s="36"/>
    </row>
    <row r="836" spans="22:22" x14ac:dyDescent="0.35">
      <c r="V836" s="36"/>
    </row>
    <row r="837" spans="22:22" x14ac:dyDescent="0.35">
      <c r="V837" s="36"/>
    </row>
    <row r="838" spans="22:22" x14ac:dyDescent="0.35">
      <c r="V838" s="36"/>
    </row>
    <row r="839" spans="22:22" x14ac:dyDescent="0.35">
      <c r="V839" s="36"/>
    </row>
    <row r="840" spans="22:22" x14ac:dyDescent="0.35">
      <c r="V840" s="36"/>
    </row>
    <row r="841" spans="22:22" x14ac:dyDescent="0.35">
      <c r="V841" s="36"/>
    </row>
    <row r="842" spans="22:22" x14ac:dyDescent="0.35">
      <c r="V842" s="36"/>
    </row>
    <row r="843" spans="22:22" x14ac:dyDescent="0.35">
      <c r="V843" s="36"/>
    </row>
    <row r="844" spans="22:22" x14ac:dyDescent="0.35">
      <c r="V844" s="36"/>
    </row>
    <row r="845" spans="22:22" x14ac:dyDescent="0.35">
      <c r="V845" s="36"/>
    </row>
    <row r="846" spans="22:22" x14ac:dyDescent="0.35">
      <c r="V846" s="36"/>
    </row>
    <row r="847" spans="22:22" x14ac:dyDescent="0.35">
      <c r="V847" s="36"/>
    </row>
    <row r="848" spans="22:22" x14ac:dyDescent="0.35">
      <c r="V848" s="36"/>
    </row>
    <row r="849" spans="22:22" x14ac:dyDescent="0.35">
      <c r="V849" s="36"/>
    </row>
    <row r="850" spans="22:22" x14ac:dyDescent="0.35">
      <c r="V850" s="36"/>
    </row>
    <row r="851" spans="22:22" x14ac:dyDescent="0.35">
      <c r="V851" s="36"/>
    </row>
    <row r="852" spans="22:22" x14ac:dyDescent="0.35">
      <c r="V852" s="36"/>
    </row>
    <row r="853" spans="22:22" x14ac:dyDescent="0.35">
      <c r="V853" s="36"/>
    </row>
    <row r="854" spans="22:22" x14ac:dyDescent="0.35">
      <c r="V854" s="36"/>
    </row>
    <row r="855" spans="22:22" x14ac:dyDescent="0.35">
      <c r="V855" s="36"/>
    </row>
    <row r="856" spans="22:22" x14ac:dyDescent="0.35">
      <c r="V856" s="36"/>
    </row>
    <row r="857" spans="22:22" x14ac:dyDescent="0.35">
      <c r="V857" s="36"/>
    </row>
    <row r="858" spans="22:22" x14ac:dyDescent="0.35">
      <c r="V858" s="36"/>
    </row>
    <row r="859" spans="22:22" x14ac:dyDescent="0.35">
      <c r="V859" s="36"/>
    </row>
    <row r="860" spans="22:22" x14ac:dyDescent="0.35">
      <c r="V860" s="36"/>
    </row>
    <row r="861" spans="22:22" x14ac:dyDescent="0.35">
      <c r="V861" s="36"/>
    </row>
    <row r="862" spans="22:22" x14ac:dyDescent="0.35">
      <c r="V862" s="36"/>
    </row>
    <row r="863" spans="22:22" x14ac:dyDescent="0.35">
      <c r="V863" s="36"/>
    </row>
    <row r="864" spans="22:22" x14ac:dyDescent="0.35">
      <c r="V864" s="36"/>
    </row>
    <row r="865" spans="22:22" x14ac:dyDescent="0.35">
      <c r="V865" s="36"/>
    </row>
    <row r="866" spans="22:22" x14ac:dyDescent="0.35">
      <c r="V866" s="36"/>
    </row>
    <row r="867" spans="22:22" x14ac:dyDescent="0.35">
      <c r="V867" s="36"/>
    </row>
    <row r="868" spans="22:22" x14ac:dyDescent="0.35">
      <c r="V868" s="36"/>
    </row>
    <row r="869" spans="22:22" x14ac:dyDescent="0.35">
      <c r="V869" s="36"/>
    </row>
    <row r="870" spans="22:22" x14ac:dyDescent="0.35">
      <c r="V870" s="36"/>
    </row>
    <row r="871" spans="22:22" x14ac:dyDescent="0.35">
      <c r="V871" s="36"/>
    </row>
    <row r="872" spans="22:22" x14ac:dyDescent="0.35">
      <c r="V872" s="36"/>
    </row>
    <row r="873" spans="22:22" x14ac:dyDescent="0.35">
      <c r="V873" s="36"/>
    </row>
    <row r="874" spans="22:22" x14ac:dyDescent="0.35">
      <c r="V874" s="36"/>
    </row>
    <row r="875" spans="22:22" x14ac:dyDescent="0.35">
      <c r="V875" s="36"/>
    </row>
    <row r="876" spans="22:22" x14ac:dyDescent="0.35">
      <c r="V876" s="36"/>
    </row>
    <row r="877" spans="22:22" x14ac:dyDescent="0.35">
      <c r="V877" s="36"/>
    </row>
    <row r="878" spans="22:22" x14ac:dyDescent="0.35">
      <c r="V878" s="36"/>
    </row>
    <row r="879" spans="22:22" x14ac:dyDescent="0.35">
      <c r="V879" s="36"/>
    </row>
    <row r="880" spans="22:22" x14ac:dyDescent="0.35">
      <c r="V880" s="36"/>
    </row>
    <row r="881" spans="22:22" x14ac:dyDescent="0.35">
      <c r="V881" s="36"/>
    </row>
    <row r="882" spans="22:22" x14ac:dyDescent="0.35">
      <c r="V882" s="36"/>
    </row>
    <row r="883" spans="22:22" x14ac:dyDescent="0.35">
      <c r="V883" s="36"/>
    </row>
    <row r="884" spans="22:22" x14ac:dyDescent="0.35">
      <c r="V884" s="36"/>
    </row>
    <row r="885" spans="22:22" x14ac:dyDescent="0.35">
      <c r="V885" s="36"/>
    </row>
    <row r="886" spans="22:22" x14ac:dyDescent="0.35">
      <c r="V886" s="36"/>
    </row>
    <row r="887" spans="22:22" x14ac:dyDescent="0.35">
      <c r="V887" s="36"/>
    </row>
    <row r="888" spans="22:22" x14ac:dyDescent="0.35">
      <c r="V888" s="36"/>
    </row>
    <row r="889" spans="22:22" x14ac:dyDescent="0.35">
      <c r="V889" s="36"/>
    </row>
    <row r="890" spans="22:22" x14ac:dyDescent="0.35">
      <c r="V890" s="36"/>
    </row>
    <row r="891" spans="22:22" x14ac:dyDescent="0.35">
      <c r="V891" s="36"/>
    </row>
    <row r="892" spans="22:22" x14ac:dyDescent="0.35">
      <c r="V892" s="36"/>
    </row>
    <row r="893" spans="22:22" x14ac:dyDescent="0.35">
      <c r="V893" s="36"/>
    </row>
    <row r="894" spans="22:22" x14ac:dyDescent="0.35">
      <c r="V894" s="36"/>
    </row>
    <row r="895" spans="22:22" x14ac:dyDescent="0.35">
      <c r="V895" s="36"/>
    </row>
    <row r="896" spans="22:22" x14ac:dyDescent="0.35">
      <c r="V896" s="36"/>
    </row>
    <row r="897" spans="22:22" x14ac:dyDescent="0.35">
      <c r="V897" s="36"/>
    </row>
    <row r="898" spans="22:22" x14ac:dyDescent="0.35">
      <c r="V898" s="36"/>
    </row>
    <row r="899" spans="22:22" x14ac:dyDescent="0.35">
      <c r="V899" s="36"/>
    </row>
    <row r="900" spans="22:22" x14ac:dyDescent="0.35">
      <c r="V900" s="36"/>
    </row>
    <row r="901" spans="22:22" x14ac:dyDescent="0.35">
      <c r="V901" s="36"/>
    </row>
    <row r="902" spans="22:22" x14ac:dyDescent="0.35">
      <c r="V902" s="36"/>
    </row>
    <row r="903" spans="22:22" x14ac:dyDescent="0.35">
      <c r="V903" s="36"/>
    </row>
    <row r="904" spans="22:22" x14ac:dyDescent="0.35">
      <c r="V904" s="36"/>
    </row>
    <row r="905" spans="22:22" x14ac:dyDescent="0.35">
      <c r="V905" s="36"/>
    </row>
    <row r="906" spans="22:22" x14ac:dyDescent="0.35">
      <c r="V906" s="36"/>
    </row>
    <row r="907" spans="22:22" x14ac:dyDescent="0.35">
      <c r="V907" s="36"/>
    </row>
    <row r="908" spans="22:22" x14ac:dyDescent="0.35">
      <c r="V908" s="36"/>
    </row>
    <row r="909" spans="22:22" x14ac:dyDescent="0.35">
      <c r="V909" s="36"/>
    </row>
    <row r="910" spans="22:22" x14ac:dyDescent="0.35">
      <c r="V910" s="36"/>
    </row>
    <row r="911" spans="22:22" x14ac:dyDescent="0.35">
      <c r="V911" s="36"/>
    </row>
    <row r="912" spans="22:22" x14ac:dyDescent="0.35">
      <c r="V912" s="36"/>
    </row>
    <row r="913" spans="22:22" x14ac:dyDescent="0.35">
      <c r="V913" s="36"/>
    </row>
    <row r="914" spans="22:22" x14ac:dyDescent="0.35">
      <c r="V914" s="36"/>
    </row>
    <row r="915" spans="22:22" x14ac:dyDescent="0.35">
      <c r="V915" s="36"/>
    </row>
    <row r="916" spans="22:22" x14ac:dyDescent="0.35">
      <c r="V916" s="36"/>
    </row>
    <row r="917" spans="22:22" x14ac:dyDescent="0.35">
      <c r="V917" s="36"/>
    </row>
    <row r="918" spans="22:22" x14ac:dyDescent="0.35">
      <c r="V918" s="36"/>
    </row>
    <row r="919" spans="22:22" x14ac:dyDescent="0.35">
      <c r="V919" s="36"/>
    </row>
    <row r="920" spans="22:22" x14ac:dyDescent="0.35">
      <c r="V920" s="36"/>
    </row>
    <row r="921" spans="22:22" x14ac:dyDescent="0.35">
      <c r="V921" s="36"/>
    </row>
    <row r="922" spans="22:22" x14ac:dyDescent="0.35">
      <c r="V922" s="36"/>
    </row>
    <row r="923" spans="22:22" x14ac:dyDescent="0.35">
      <c r="V923" s="36"/>
    </row>
    <row r="924" spans="22:22" x14ac:dyDescent="0.35">
      <c r="V924" s="36"/>
    </row>
    <row r="925" spans="22:22" x14ac:dyDescent="0.35">
      <c r="V925" s="36"/>
    </row>
    <row r="926" spans="22:22" x14ac:dyDescent="0.35">
      <c r="V926" s="36"/>
    </row>
    <row r="927" spans="22:22" x14ac:dyDescent="0.35">
      <c r="V927" s="36"/>
    </row>
    <row r="928" spans="22:22" x14ac:dyDescent="0.35">
      <c r="V928" s="36"/>
    </row>
    <row r="929" spans="22:22" x14ac:dyDescent="0.35">
      <c r="V929" s="36"/>
    </row>
    <row r="930" spans="22:22" x14ac:dyDescent="0.35">
      <c r="V930" s="36"/>
    </row>
    <row r="931" spans="22:22" x14ac:dyDescent="0.35">
      <c r="V931" s="36"/>
    </row>
    <row r="932" spans="22:22" x14ac:dyDescent="0.35">
      <c r="V932" s="36"/>
    </row>
    <row r="933" spans="22:22" x14ac:dyDescent="0.35">
      <c r="V933" s="36"/>
    </row>
    <row r="934" spans="22:22" x14ac:dyDescent="0.35">
      <c r="V934" s="36"/>
    </row>
    <row r="935" spans="22:22" x14ac:dyDescent="0.35">
      <c r="V935" s="36"/>
    </row>
    <row r="936" spans="22:22" x14ac:dyDescent="0.35">
      <c r="V936" s="36"/>
    </row>
    <row r="937" spans="22:22" x14ac:dyDescent="0.35">
      <c r="V937" s="36"/>
    </row>
    <row r="938" spans="22:22" x14ac:dyDescent="0.35">
      <c r="V938" s="36"/>
    </row>
    <row r="939" spans="22:22" x14ac:dyDescent="0.35">
      <c r="V939" s="36"/>
    </row>
    <row r="940" spans="22:22" x14ac:dyDescent="0.35">
      <c r="V940" s="36"/>
    </row>
    <row r="941" spans="22:22" x14ac:dyDescent="0.35">
      <c r="V941" s="36"/>
    </row>
    <row r="942" spans="22:22" x14ac:dyDescent="0.35">
      <c r="V942" s="36"/>
    </row>
    <row r="943" spans="22:22" x14ac:dyDescent="0.35">
      <c r="V943" s="36"/>
    </row>
    <row r="944" spans="22:22" x14ac:dyDescent="0.35">
      <c r="V944" s="36"/>
    </row>
    <row r="945" spans="22:22" x14ac:dyDescent="0.35">
      <c r="V945" s="36"/>
    </row>
    <row r="946" spans="22:22" x14ac:dyDescent="0.35">
      <c r="V946" s="36"/>
    </row>
    <row r="947" spans="22:22" x14ac:dyDescent="0.35">
      <c r="V947" s="36"/>
    </row>
    <row r="948" spans="22:22" x14ac:dyDescent="0.35">
      <c r="V948" s="36"/>
    </row>
    <row r="949" spans="22:22" x14ac:dyDescent="0.35">
      <c r="V949" s="36"/>
    </row>
    <row r="950" spans="22:22" x14ac:dyDescent="0.35">
      <c r="V950" s="36"/>
    </row>
    <row r="951" spans="22:22" x14ac:dyDescent="0.35">
      <c r="V951" s="36"/>
    </row>
    <row r="952" spans="22:22" x14ac:dyDescent="0.35">
      <c r="V952" s="36"/>
    </row>
    <row r="953" spans="22:22" x14ac:dyDescent="0.35">
      <c r="V953" s="36"/>
    </row>
    <row r="954" spans="22:22" x14ac:dyDescent="0.35">
      <c r="V954" s="36"/>
    </row>
    <row r="955" spans="22:22" x14ac:dyDescent="0.35">
      <c r="V955" s="36"/>
    </row>
    <row r="956" spans="22:22" x14ac:dyDescent="0.35">
      <c r="V956" s="36"/>
    </row>
    <row r="957" spans="22:22" x14ac:dyDescent="0.35">
      <c r="V957" s="36"/>
    </row>
    <row r="958" spans="22:22" x14ac:dyDescent="0.35">
      <c r="V958" s="36"/>
    </row>
    <row r="959" spans="22:22" x14ac:dyDescent="0.35">
      <c r="V959" s="36"/>
    </row>
    <row r="960" spans="22:22" x14ac:dyDescent="0.35">
      <c r="V960" s="36"/>
    </row>
    <row r="961" spans="22:22" x14ac:dyDescent="0.35">
      <c r="V961" s="36"/>
    </row>
    <row r="962" spans="22:22" x14ac:dyDescent="0.35">
      <c r="V962" s="36"/>
    </row>
    <row r="963" spans="22:22" x14ac:dyDescent="0.35">
      <c r="V963" s="36"/>
    </row>
    <row r="964" spans="22:22" x14ac:dyDescent="0.35">
      <c r="V964" s="36"/>
    </row>
    <row r="965" spans="22:22" x14ac:dyDescent="0.35">
      <c r="V965" s="36"/>
    </row>
    <row r="966" spans="22:22" x14ac:dyDescent="0.35">
      <c r="V966" s="36"/>
    </row>
    <row r="967" spans="22:22" x14ac:dyDescent="0.35">
      <c r="V967" s="36"/>
    </row>
    <row r="968" spans="22:22" x14ac:dyDescent="0.35">
      <c r="V968" s="36"/>
    </row>
    <row r="969" spans="22:22" x14ac:dyDescent="0.35">
      <c r="V969" s="36"/>
    </row>
    <row r="970" spans="22:22" x14ac:dyDescent="0.35">
      <c r="V970" s="36"/>
    </row>
    <row r="971" spans="22:22" x14ac:dyDescent="0.35">
      <c r="V971" s="36"/>
    </row>
    <row r="972" spans="22:22" x14ac:dyDescent="0.35">
      <c r="V972" s="36"/>
    </row>
    <row r="973" spans="22:22" x14ac:dyDescent="0.35">
      <c r="V973" s="36"/>
    </row>
    <row r="974" spans="22:22" x14ac:dyDescent="0.35">
      <c r="V974" s="36"/>
    </row>
    <row r="975" spans="22:22" x14ac:dyDescent="0.35">
      <c r="V975" s="36"/>
    </row>
    <row r="976" spans="22:22" x14ac:dyDescent="0.35">
      <c r="V976" s="36"/>
    </row>
    <row r="977" spans="22:22" x14ac:dyDescent="0.35">
      <c r="V977" s="36"/>
    </row>
    <row r="978" spans="22:22" x14ac:dyDescent="0.35">
      <c r="V978" s="36"/>
    </row>
    <row r="979" spans="22:22" x14ac:dyDescent="0.35">
      <c r="V979" s="36"/>
    </row>
    <row r="980" spans="22:22" x14ac:dyDescent="0.35">
      <c r="V980" s="36"/>
    </row>
    <row r="981" spans="22:22" x14ac:dyDescent="0.35">
      <c r="V981" s="36"/>
    </row>
    <row r="982" spans="22:22" x14ac:dyDescent="0.35">
      <c r="V982" s="36"/>
    </row>
    <row r="983" spans="22:22" x14ac:dyDescent="0.35">
      <c r="V983" s="36"/>
    </row>
    <row r="984" spans="22:22" x14ac:dyDescent="0.35">
      <c r="V984" s="36"/>
    </row>
    <row r="985" spans="22:22" x14ac:dyDescent="0.35">
      <c r="V985" s="36"/>
    </row>
    <row r="986" spans="22:22" x14ac:dyDescent="0.35">
      <c r="V986" s="36"/>
    </row>
    <row r="987" spans="22:22" x14ac:dyDescent="0.35">
      <c r="V987" s="36"/>
    </row>
    <row r="988" spans="22:22" x14ac:dyDescent="0.35">
      <c r="V988" s="36"/>
    </row>
    <row r="989" spans="22:22" x14ac:dyDescent="0.35">
      <c r="V989" s="36"/>
    </row>
    <row r="990" spans="22:22" x14ac:dyDescent="0.35">
      <c r="V990" s="36"/>
    </row>
    <row r="991" spans="22:22" x14ac:dyDescent="0.35">
      <c r="V991" s="36"/>
    </row>
    <row r="992" spans="22:22" x14ac:dyDescent="0.35">
      <c r="V992" s="36"/>
    </row>
    <row r="993" spans="22:22" x14ac:dyDescent="0.35">
      <c r="V993" s="36"/>
    </row>
    <row r="994" spans="22:22" x14ac:dyDescent="0.35">
      <c r="V994" s="36"/>
    </row>
    <row r="995" spans="22:22" x14ac:dyDescent="0.35">
      <c r="V995" s="36"/>
    </row>
    <row r="996" spans="22:22" x14ac:dyDescent="0.35">
      <c r="V996" s="36"/>
    </row>
    <row r="997" spans="22:22" x14ac:dyDescent="0.35">
      <c r="V997" s="36"/>
    </row>
    <row r="998" spans="22:22" x14ac:dyDescent="0.35">
      <c r="V998" s="36"/>
    </row>
    <row r="999" spans="22:22" x14ac:dyDescent="0.35">
      <c r="V999" s="36"/>
    </row>
    <row r="1000" spans="22:22" x14ac:dyDescent="0.35">
      <c r="V1000" s="36"/>
    </row>
    <row r="1001" spans="22:22" x14ac:dyDescent="0.35">
      <c r="V1001" s="36"/>
    </row>
    <row r="1002" spans="22:22" x14ac:dyDescent="0.35">
      <c r="V1002" s="36"/>
    </row>
    <row r="1003" spans="22:22" x14ac:dyDescent="0.35">
      <c r="V1003" s="36"/>
    </row>
    <row r="1004" spans="22:22" x14ac:dyDescent="0.35">
      <c r="V1004" s="36"/>
    </row>
    <row r="1005" spans="22:22" x14ac:dyDescent="0.35">
      <c r="V1005" s="36"/>
    </row>
    <row r="1006" spans="22:22" x14ac:dyDescent="0.35">
      <c r="V1006" s="36"/>
    </row>
    <row r="1007" spans="22:22" x14ac:dyDescent="0.35">
      <c r="V1007" s="36"/>
    </row>
    <row r="1008" spans="22:22" x14ac:dyDescent="0.35">
      <c r="V1008" s="36"/>
    </row>
    <row r="1009" spans="22:22" x14ac:dyDescent="0.35">
      <c r="V1009" s="36"/>
    </row>
    <row r="1010" spans="22:22" x14ac:dyDescent="0.35">
      <c r="V1010" s="36"/>
    </row>
    <row r="1011" spans="22:22" x14ac:dyDescent="0.35">
      <c r="V1011" s="36"/>
    </row>
    <row r="1012" spans="22:22" x14ac:dyDescent="0.35">
      <c r="V1012" s="36"/>
    </row>
    <row r="1013" spans="22:22" x14ac:dyDescent="0.35">
      <c r="V1013" s="36"/>
    </row>
    <row r="1014" spans="22:22" x14ac:dyDescent="0.35">
      <c r="V1014" s="36"/>
    </row>
    <row r="1015" spans="22:22" x14ac:dyDescent="0.35">
      <c r="V1015" s="36"/>
    </row>
    <row r="1016" spans="22:22" x14ac:dyDescent="0.35">
      <c r="V1016" s="36"/>
    </row>
    <row r="1017" spans="22:22" x14ac:dyDescent="0.35">
      <c r="V1017" s="36"/>
    </row>
    <row r="1018" spans="22:22" x14ac:dyDescent="0.35">
      <c r="V1018" s="36"/>
    </row>
    <row r="1019" spans="22:22" x14ac:dyDescent="0.35">
      <c r="V1019" s="36"/>
    </row>
    <row r="1020" spans="22:22" x14ac:dyDescent="0.35">
      <c r="V1020" s="36"/>
    </row>
    <row r="1021" spans="22:22" x14ac:dyDescent="0.35">
      <c r="V1021" s="36"/>
    </row>
    <row r="1022" spans="22:22" x14ac:dyDescent="0.35">
      <c r="V1022" s="36"/>
    </row>
    <row r="1023" spans="22:22" x14ac:dyDescent="0.35">
      <c r="V1023" s="36"/>
    </row>
    <row r="1024" spans="22:22" x14ac:dyDescent="0.35">
      <c r="V1024" s="36"/>
    </row>
    <row r="1025" spans="22:22" x14ac:dyDescent="0.35">
      <c r="V1025" s="36"/>
    </row>
    <row r="1026" spans="22:22" x14ac:dyDescent="0.35">
      <c r="V1026" s="36"/>
    </row>
    <row r="1027" spans="22:22" x14ac:dyDescent="0.35">
      <c r="V1027" s="36"/>
    </row>
    <row r="1028" spans="22:22" x14ac:dyDescent="0.35">
      <c r="V1028" s="36"/>
    </row>
    <row r="1029" spans="22:22" x14ac:dyDescent="0.35">
      <c r="V1029" s="36"/>
    </row>
    <row r="1030" spans="22:22" x14ac:dyDescent="0.35">
      <c r="V1030" s="36"/>
    </row>
    <row r="1031" spans="22:22" x14ac:dyDescent="0.35">
      <c r="V1031" s="36"/>
    </row>
    <row r="1032" spans="22:22" x14ac:dyDescent="0.35">
      <c r="V1032" s="36"/>
    </row>
    <row r="1033" spans="22:22" x14ac:dyDescent="0.35">
      <c r="V1033" s="36"/>
    </row>
    <row r="1034" spans="22:22" x14ac:dyDescent="0.35">
      <c r="V1034" s="36"/>
    </row>
    <row r="1035" spans="22:22" x14ac:dyDescent="0.35">
      <c r="V1035" s="36"/>
    </row>
    <row r="1036" spans="22:22" x14ac:dyDescent="0.35">
      <c r="V1036" s="36"/>
    </row>
    <row r="1037" spans="22:22" x14ac:dyDescent="0.35">
      <c r="V1037" s="36"/>
    </row>
    <row r="1038" spans="22:22" x14ac:dyDescent="0.35">
      <c r="V1038" s="36"/>
    </row>
    <row r="1039" spans="22:22" x14ac:dyDescent="0.35">
      <c r="V1039" s="36"/>
    </row>
    <row r="1040" spans="22:22" x14ac:dyDescent="0.35">
      <c r="V1040" s="36"/>
    </row>
    <row r="1041" spans="22:22" x14ac:dyDescent="0.35">
      <c r="V1041" s="36"/>
    </row>
    <row r="1042" spans="22:22" x14ac:dyDescent="0.35">
      <c r="V1042" s="36"/>
    </row>
    <row r="1043" spans="22:22" x14ac:dyDescent="0.35">
      <c r="V1043" s="36"/>
    </row>
    <row r="1044" spans="22:22" x14ac:dyDescent="0.35">
      <c r="V1044" s="36"/>
    </row>
    <row r="1045" spans="22:22" x14ac:dyDescent="0.35">
      <c r="V1045" s="36"/>
    </row>
    <row r="1046" spans="22:22" x14ac:dyDescent="0.35">
      <c r="V1046" s="36"/>
    </row>
    <row r="1047" spans="22:22" x14ac:dyDescent="0.35">
      <c r="V1047" s="36"/>
    </row>
    <row r="1048" spans="22:22" x14ac:dyDescent="0.35">
      <c r="V1048" s="36"/>
    </row>
    <row r="1049" spans="22:22" x14ac:dyDescent="0.35">
      <c r="V1049" s="36"/>
    </row>
    <row r="1050" spans="22:22" x14ac:dyDescent="0.35">
      <c r="V1050" s="36"/>
    </row>
    <row r="1051" spans="22:22" x14ac:dyDescent="0.35">
      <c r="V1051" s="36"/>
    </row>
    <row r="1052" spans="22:22" x14ac:dyDescent="0.35">
      <c r="V1052" s="36"/>
    </row>
    <row r="1053" spans="22:22" x14ac:dyDescent="0.35">
      <c r="V1053" s="36"/>
    </row>
    <row r="1054" spans="22:22" x14ac:dyDescent="0.35">
      <c r="V1054" s="36"/>
    </row>
    <row r="1055" spans="22:22" x14ac:dyDescent="0.35">
      <c r="V1055" s="36"/>
    </row>
    <row r="1056" spans="22:22" x14ac:dyDescent="0.35">
      <c r="V1056" s="36"/>
    </row>
    <row r="1057" spans="22:22" x14ac:dyDescent="0.35">
      <c r="V1057" s="36"/>
    </row>
    <row r="1058" spans="22:22" x14ac:dyDescent="0.35">
      <c r="V1058" s="36"/>
    </row>
    <row r="1059" spans="22:22" x14ac:dyDescent="0.35">
      <c r="V1059" s="36"/>
    </row>
    <row r="1060" spans="22:22" x14ac:dyDescent="0.35">
      <c r="V1060" s="36"/>
    </row>
    <row r="1061" spans="22:22" x14ac:dyDescent="0.35">
      <c r="V1061" s="36"/>
    </row>
    <row r="1062" spans="22:22" x14ac:dyDescent="0.35">
      <c r="V1062" s="36"/>
    </row>
    <row r="1063" spans="22:22" x14ac:dyDescent="0.35">
      <c r="V1063" s="36"/>
    </row>
    <row r="1064" spans="22:22" x14ac:dyDescent="0.35">
      <c r="V1064" s="36"/>
    </row>
    <row r="1065" spans="22:22" x14ac:dyDescent="0.35">
      <c r="V1065" s="36"/>
    </row>
    <row r="1066" spans="22:22" x14ac:dyDescent="0.35">
      <c r="V1066" s="36"/>
    </row>
    <row r="1067" spans="22:22" x14ac:dyDescent="0.35">
      <c r="V1067" s="36"/>
    </row>
    <row r="1068" spans="22:22" x14ac:dyDescent="0.35">
      <c r="V1068" s="36"/>
    </row>
    <row r="1069" spans="22:22" x14ac:dyDescent="0.35">
      <c r="V1069" s="36"/>
    </row>
    <row r="1070" spans="22:22" x14ac:dyDescent="0.35">
      <c r="V1070" s="36"/>
    </row>
    <row r="1071" spans="22:22" x14ac:dyDescent="0.35">
      <c r="V1071" s="36"/>
    </row>
    <row r="1072" spans="22:22" x14ac:dyDescent="0.35">
      <c r="V1072" s="36"/>
    </row>
    <row r="1073" spans="22:22" x14ac:dyDescent="0.35">
      <c r="V1073" s="36"/>
    </row>
    <row r="1074" spans="22:22" x14ac:dyDescent="0.35">
      <c r="V1074" s="36"/>
    </row>
    <row r="1075" spans="22:22" x14ac:dyDescent="0.35">
      <c r="V1075" s="36"/>
    </row>
    <row r="1076" spans="22:22" x14ac:dyDescent="0.35">
      <c r="V1076" s="36"/>
    </row>
    <row r="1077" spans="22:22" x14ac:dyDescent="0.35">
      <c r="V1077" s="36"/>
    </row>
    <row r="1078" spans="22:22" x14ac:dyDescent="0.35">
      <c r="V1078" s="36"/>
    </row>
    <row r="1079" spans="22:22" x14ac:dyDescent="0.35">
      <c r="V1079" s="36"/>
    </row>
    <row r="1080" spans="22:22" x14ac:dyDescent="0.35">
      <c r="V1080" s="36"/>
    </row>
    <row r="1081" spans="22:22" x14ac:dyDescent="0.35">
      <c r="V1081" s="36"/>
    </row>
    <row r="1082" spans="22:22" x14ac:dyDescent="0.35">
      <c r="V1082" s="36"/>
    </row>
    <row r="1083" spans="22:22" x14ac:dyDescent="0.35">
      <c r="V1083" s="36"/>
    </row>
    <row r="1084" spans="22:22" x14ac:dyDescent="0.35">
      <c r="V1084" s="36"/>
    </row>
    <row r="1085" spans="22:22" x14ac:dyDescent="0.35">
      <c r="V1085" s="36"/>
    </row>
    <row r="1086" spans="22:22" x14ac:dyDescent="0.35">
      <c r="V1086" s="36"/>
    </row>
    <row r="1087" spans="22:22" x14ac:dyDescent="0.35">
      <c r="V1087" s="36"/>
    </row>
    <row r="1088" spans="22:22" x14ac:dyDescent="0.35">
      <c r="V1088" s="36"/>
    </row>
    <row r="1089" spans="22:22" x14ac:dyDescent="0.35">
      <c r="V1089" s="36"/>
    </row>
    <row r="1090" spans="22:22" x14ac:dyDescent="0.35">
      <c r="V1090" s="36"/>
    </row>
    <row r="1091" spans="22:22" x14ac:dyDescent="0.35">
      <c r="V1091" s="36"/>
    </row>
    <row r="1092" spans="22:22" x14ac:dyDescent="0.35">
      <c r="V1092" s="36"/>
    </row>
    <row r="1093" spans="22:22" x14ac:dyDescent="0.35">
      <c r="V1093" s="36"/>
    </row>
    <row r="1094" spans="22:22" x14ac:dyDescent="0.35">
      <c r="V1094" s="36"/>
    </row>
    <row r="1095" spans="22:22" x14ac:dyDescent="0.35">
      <c r="V1095" s="36"/>
    </row>
    <row r="1096" spans="22:22" x14ac:dyDescent="0.35">
      <c r="V1096" s="36"/>
    </row>
    <row r="1097" spans="22:22" x14ac:dyDescent="0.35">
      <c r="V1097" s="36"/>
    </row>
    <row r="1098" spans="22:22" x14ac:dyDescent="0.35">
      <c r="V1098" s="36"/>
    </row>
    <row r="1099" spans="22:22" x14ac:dyDescent="0.35">
      <c r="V1099" s="36"/>
    </row>
    <row r="1100" spans="22:22" x14ac:dyDescent="0.35">
      <c r="V1100" s="36"/>
    </row>
    <row r="1101" spans="22:22" x14ac:dyDescent="0.35">
      <c r="V1101" s="36"/>
    </row>
    <row r="1102" spans="22:22" x14ac:dyDescent="0.35">
      <c r="V1102" s="36"/>
    </row>
    <row r="1103" spans="22:22" x14ac:dyDescent="0.35">
      <c r="V1103" s="36"/>
    </row>
    <row r="1104" spans="22:22" x14ac:dyDescent="0.35">
      <c r="V1104" s="36"/>
    </row>
    <row r="1105" spans="22:22" x14ac:dyDescent="0.35">
      <c r="V1105" s="36"/>
    </row>
    <row r="1106" spans="22:22" x14ac:dyDescent="0.35">
      <c r="V1106" s="36"/>
    </row>
    <row r="1107" spans="22:22" x14ac:dyDescent="0.35">
      <c r="V1107" s="36"/>
    </row>
    <row r="1108" spans="22:22" x14ac:dyDescent="0.35">
      <c r="V1108" s="36"/>
    </row>
    <row r="1109" spans="22:22" x14ac:dyDescent="0.35">
      <c r="V1109" s="36"/>
    </row>
    <row r="1110" spans="22:22" x14ac:dyDescent="0.35">
      <c r="V1110" s="36"/>
    </row>
    <row r="1111" spans="22:22" x14ac:dyDescent="0.35">
      <c r="V1111" s="36"/>
    </row>
    <row r="1112" spans="22:22" x14ac:dyDescent="0.35">
      <c r="V1112" s="36"/>
    </row>
    <row r="1113" spans="22:22" x14ac:dyDescent="0.35">
      <c r="V1113" s="36"/>
    </row>
    <row r="1114" spans="22:22" x14ac:dyDescent="0.35">
      <c r="V1114" s="36"/>
    </row>
    <row r="1115" spans="22:22" x14ac:dyDescent="0.35">
      <c r="V1115" s="36"/>
    </row>
    <row r="1116" spans="22:22" x14ac:dyDescent="0.35">
      <c r="V1116" s="36"/>
    </row>
    <row r="1117" spans="22:22" x14ac:dyDescent="0.35">
      <c r="V1117" s="36"/>
    </row>
    <row r="1118" spans="22:22" x14ac:dyDescent="0.35">
      <c r="V1118" s="36"/>
    </row>
    <row r="1119" spans="22:22" x14ac:dyDescent="0.35">
      <c r="V1119" s="36"/>
    </row>
    <row r="1120" spans="22:22" x14ac:dyDescent="0.35">
      <c r="V1120" s="36"/>
    </row>
    <row r="1121" spans="22:22" x14ac:dyDescent="0.35">
      <c r="V1121" s="36"/>
    </row>
    <row r="1122" spans="22:22" x14ac:dyDescent="0.35">
      <c r="V1122" s="36"/>
    </row>
    <row r="1123" spans="22:22" x14ac:dyDescent="0.35">
      <c r="V1123" s="36"/>
    </row>
    <row r="1124" spans="22:22" x14ac:dyDescent="0.35">
      <c r="V1124" s="36"/>
    </row>
    <row r="1125" spans="22:22" x14ac:dyDescent="0.35">
      <c r="V1125" s="36"/>
    </row>
    <row r="1126" spans="22:22" x14ac:dyDescent="0.35">
      <c r="V1126" s="36"/>
    </row>
    <row r="1127" spans="22:22" x14ac:dyDescent="0.35">
      <c r="V1127" s="36"/>
    </row>
    <row r="1128" spans="22:22" x14ac:dyDescent="0.35">
      <c r="V1128" s="36"/>
    </row>
    <row r="1129" spans="22:22" x14ac:dyDescent="0.35">
      <c r="V1129" s="36"/>
    </row>
    <row r="1130" spans="22:22" x14ac:dyDescent="0.35">
      <c r="V1130" s="36"/>
    </row>
    <row r="1131" spans="22:22" x14ac:dyDescent="0.35">
      <c r="V1131" s="36"/>
    </row>
    <row r="1132" spans="22:22" x14ac:dyDescent="0.35">
      <c r="V1132" s="36"/>
    </row>
    <row r="1133" spans="22:22" x14ac:dyDescent="0.35">
      <c r="V1133" s="36"/>
    </row>
    <row r="1134" spans="22:22" x14ac:dyDescent="0.35">
      <c r="V1134" s="36"/>
    </row>
    <row r="1135" spans="22:22" x14ac:dyDescent="0.35">
      <c r="V1135" s="36"/>
    </row>
    <row r="1136" spans="22:22" x14ac:dyDescent="0.35">
      <c r="V1136" s="36"/>
    </row>
    <row r="1137" spans="22:22" x14ac:dyDescent="0.35">
      <c r="V1137" s="36"/>
    </row>
    <row r="1138" spans="22:22" x14ac:dyDescent="0.35">
      <c r="V1138" s="36"/>
    </row>
    <row r="1139" spans="22:22" x14ac:dyDescent="0.35">
      <c r="V1139" s="36"/>
    </row>
    <row r="1140" spans="22:22" x14ac:dyDescent="0.35">
      <c r="V1140" s="36"/>
    </row>
    <row r="1141" spans="22:22" x14ac:dyDescent="0.35">
      <c r="V1141" s="36"/>
    </row>
    <row r="1142" spans="22:22" x14ac:dyDescent="0.35">
      <c r="V1142" s="36"/>
    </row>
    <row r="1143" spans="22:22" x14ac:dyDescent="0.35">
      <c r="V1143" s="36"/>
    </row>
    <row r="1144" spans="22:22" x14ac:dyDescent="0.35">
      <c r="V1144" s="36"/>
    </row>
    <row r="1145" spans="22:22" x14ac:dyDescent="0.35">
      <c r="V1145" s="36"/>
    </row>
    <row r="1146" spans="22:22" x14ac:dyDescent="0.35">
      <c r="V1146" s="36"/>
    </row>
    <row r="1147" spans="22:22" x14ac:dyDescent="0.35">
      <c r="V1147" s="36"/>
    </row>
    <row r="1148" spans="22:22" x14ac:dyDescent="0.35">
      <c r="V1148" s="36"/>
    </row>
    <row r="1149" spans="22:22" x14ac:dyDescent="0.35">
      <c r="V1149" s="36"/>
    </row>
    <row r="1150" spans="22:22" x14ac:dyDescent="0.35">
      <c r="V1150" s="36"/>
    </row>
    <row r="1151" spans="22:22" x14ac:dyDescent="0.35">
      <c r="V1151" s="36"/>
    </row>
    <row r="1152" spans="22:22" x14ac:dyDescent="0.35">
      <c r="V1152" s="36"/>
    </row>
    <row r="1153" spans="22:22" x14ac:dyDescent="0.35">
      <c r="V1153" s="36"/>
    </row>
    <row r="1154" spans="22:22" x14ac:dyDescent="0.35">
      <c r="V1154" s="36"/>
    </row>
    <row r="1155" spans="22:22" x14ac:dyDescent="0.35">
      <c r="V1155" s="36"/>
    </row>
    <row r="1156" spans="22:22" x14ac:dyDescent="0.35">
      <c r="V1156" s="36"/>
    </row>
    <row r="1157" spans="22:22" x14ac:dyDescent="0.35">
      <c r="V1157" s="36"/>
    </row>
    <row r="1158" spans="22:22" x14ac:dyDescent="0.35">
      <c r="V1158" s="36"/>
    </row>
    <row r="1159" spans="22:22" x14ac:dyDescent="0.35">
      <c r="V1159" s="36"/>
    </row>
    <row r="1160" spans="22:22" x14ac:dyDescent="0.35">
      <c r="V1160" s="36"/>
    </row>
    <row r="1161" spans="22:22" x14ac:dyDescent="0.35">
      <c r="V1161" s="36"/>
    </row>
    <row r="1162" spans="22:22" x14ac:dyDescent="0.35">
      <c r="V1162" s="36"/>
    </row>
    <row r="1163" spans="22:22" x14ac:dyDescent="0.35">
      <c r="V1163" s="36"/>
    </row>
    <row r="1164" spans="22:22" x14ac:dyDescent="0.35">
      <c r="V1164" s="36"/>
    </row>
    <row r="1165" spans="22:22" x14ac:dyDescent="0.35">
      <c r="V1165" s="36"/>
    </row>
    <row r="1166" spans="22:22" x14ac:dyDescent="0.35">
      <c r="V1166" s="36"/>
    </row>
    <row r="1167" spans="22:22" x14ac:dyDescent="0.35">
      <c r="V1167" s="36"/>
    </row>
    <row r="1168" spans="22:22" x14ac:dyDescent="0.35">
      <c r="V1168" s="36"/>
    </row>
    <row r="1169" spans="22:22" x14ac:dyDescent="0.35">
      <c r="V1169" s="36"/>
    </row>
    <row r="1170" spans="22:22" x14ac:dyDescent="0.35">
      <c r="V1170" s="36"/>
    </row>
    <row r="1171" spans="22:22" x14ac:dyDescent="0.35">
      <c r="V1171" s="36"/>
    </row>
    <row r="1172" spans="22:22" x14ac:dyDescent="0.35">
      <c r="V1172" s="36"/>
    </row>
    <row r="1173" spans="22:22" x14ac:dyDescent="0.35">
      <c r="V1173" s="36"/>
    </row>
    <row r="1174" spans="22:22" x14ac:dyDescent="0.35">
      <c r="V1174" s="36"/>
    </row>
    <row r="1175" spans="22:22" x14ac:dyDescent="0.35">
      <c r="V1175" s="36"/>
    </row>
    <row r="1176" spans="22:22" x14ac:dyDescent="0.35">
      <c r="V1176" s="36"/>
    </row>
    <row r="1177" spans="22:22" x14ac:dyDescent="0.35">
      <c r="V1177" s="36"/>
    </row>
    <row r="1178" spans="22:22" x14ac:dyDescent="0.35">
      <c r="V1178" s="36"/>
    </row>
    <row r="1179" spans="22:22" x14ac:dyDescent="0.35">
      <c r="V1179" s="36"/>
    </row>
    <row r="1180" spans="22:22" x14ac:dyDescent="0.35">
      <c r="V1180" s="36"/>
    </row>
    <row r="1181" spans="22:22" x14ac:dyDescent="0.35">
      <c r="V1181" s="36"/>
    </row>
    <row r="1182" spans="22:22" x14ac:dyDescent="0.35">
      <c r="V1182" s="36"/>
    </row>
    <row r="1183" spans="22:22" x14ac:dyDescent="0.35">
      <c r="V1183" s="36"/>
    </row>
    <row r="1184" spans="22:22" x14ac:dyDescent="0.35">
      <c r="V1184" s="36"/>
    </row>
    <row r="1185" spans="22:22" x14ac:dyDescent="0.35">
      <c r="V1185" s="36"/>
    </row>
    <row r="1186" spans="22:22" x14ac:dyDescent="0.35">
      <c r="V1186" s="36"/>
    </row>
    <row r="1187" spans="22:22" x14ac:dyDescent="0.35">
      <c r="V1187" s="36"/>
    </row>
    <row r="1188" spans="22:22" x14ac:dyDescent="0.35">
      <c r="V1188" s="36"/>
    </row>
    <row r="1189" spans="22:22" x14ac:dyDescent="0.35">
      <c r="V1189" s="36"/>
    </row>
    <row r="1190" spans="22:22" x14ac:dyDescent="0.35">
      <c r="V1190" s="36"/>
    </row>
    <row r="1191" spans="22:22" x14ac:dyDescent="0.35">
      <c r="V1191" s="36"/>
    </row>
    <row r="1192" spans="22:22" x14ac:dyDescent="0.35">
      <c r="V1192" s="36"/>
    </row>
    <row r="1193" spans="22:22" x14ac:dyDescent="0.35">
      <c r="V1193" s="36"/>
    </row>
    <row r="1194" spans="22:22" x14ac:dyDescent="0.35">
      <c r="V1194" s="36"/>
    </row>
    <row r="1195" spans="22:22" x14ac:dyDescent="0.35">
      <c r="V1195" s="36"/>
    </row>
    <row r="1196" spans="22:22" x14ac:dyDescent="0.35">
      <c r="V1196" s="36"/>
    </row>
    <row r="1197" spans="22:22" x14ac:dyDescent="0.35">
      <c r="V1197" s="36"/>
    </row>
    <row r="1198" spans="22:22" x14ac:dyDescent="0.35">
      <c r="V1198" s="36"/>
    </row>
    <row r="1199" spans="22:22" x14ac:dyDescent="0.35">
      <c r="V1199" s="36"/>
    </row>
    <row r="1200" spans="22:22" x14ac:dyDescent="0.35">
      <c r="V1200" s="36"/>
    </row>
    <row r="1201" spans="22:22" x14ac:dyDescent="0.35">
      <c r="V1201" s="36"/>
    </row>
    <row r="1202" spans="22:22" x14ac:dyDescent="0.35">
      <c r="V1202" s="36"/>
    </row>
    <row r="1203" spans="22:22" x14ac:dyDescent="0.35">
      <c r="V1203" s="36"/>
    </row>
    <row r="1204" spans="22:22" x14ac:dyDescent="0.35">
      <c r="V1204" s="36"/>
    </row>
    <row r="1205" spans="22:22" x14ac:dyDescent="0.35">
      <c r="V1205" s="36"/>
    </row>
    <row r="1206" spans="22:22" x14ac:dyDescent="0.35">
      <c r="V1206" s="36"/>
    </row>
    <row r="1207" spans="22:22" x14ac:dyDescent="0.35">
      <c r="V1207" s="36"/>
    </row>
    <row r="1208" spans="22:22" x14ac:dyDescent="0.35">
      <c r="V1208" s="36"/>
    </row>
    <row r="1209" spans="22:22" x14ac:dyDescent="0.35">
      <c r="V1209" s="36"/>
    </row>
    <row r="1210" spans="22:22" x14ac:dyDescent="0.35">
      <c r="V1210" s="36"/>
    </row>
    <row r="1211" spans="22:22" x14ac:dyDescent="0.35">
      <c r="V1211" s="36"/>
    </row>
    <row r="1212" spans="22:22" x14ac:dyDescent="0.35">
      <c r="V1212" s="36"/>
    </row>
    <row r="1213" spans="22:22" x14ac:dyDescent="0.35">
      <c r="V1213" s="36"/>
    </row>
    <row r="1214" spans="22:22" x14ac:dyDescent="0.35">
      <c r="V1214" s="36"/>
    </row>
    <row r="1215" spans="22:22" x14ac:dyDescent="0.35">
      <c r="V1215" s="36"/>
    </row>
    <row r="1216" spans="22:22" x14ac:dyDescent="0.35">
      <c r="V1216" s="36"/>
    </row>
    <row r="1217" spans="22:22" x14ac:dyDescent="0.35">
      <c r="V1217" s="36"/>
    </row>
    <row r="1218" spans="22:22" x14ac:dyDescent="0.35">
      <c r="V1218" s="36"/>
    </row>
    <row r="1219" spans="22:22" x14ac:dyDescent="0.35">
      <c r="V1219" s="36"/>
    </row>
    <row r="1220" spans="22:22" x14ac:dyDescent="0.35">
      <c r="V1220" s="36"/>
    </row>
    <row r="1221" spans="22:22" x14ac:dyDescent="0.35">
      <c r="V1221" s="36"/>
    </row>
    <row r="1222" spans="22:22" x14ac:dyDescent="0.35">
      <c r="V1222" s="36"/>
    </row>
    <row r="1223" spans="22:22" x14ac:dyDescent="0.35">
      <c r="V1223" s="36"/>
    </row>
    <row r="1224" spans="22:22" x14ac:dyDescent="0.35">
      <c r="V1224" s="36"/>
    </row>
    <row r="1225" spans="22:22" x14ac:dyDescent="0.35">
      <c r="V1225" s="36"/>
    </row>
    <row r="1226" spans="22:22" x14ac:dyDescent="0.35">
      <c r="V1226" s="36"/>
    </row>
    <row r="1227" spans="22:22" x14ac:dyDescent="0.35">
      <c r="V1227" s="36"/>
    </row>
    <row r="1228" spans="22:22" x14ac:dyDescent="0.35">
      <c r="V1228" s="36"/>
    </row>
    <row r="1229" spans="22:22" x14ac:dyDescent="0.35">
      <c r="V1229" s="36"/>
    </row>
    <row r="1230" spans="22:22" x14ac:dyDescent="0.35">
      <c r="V1230" s="36"/>
    </row>
    <row r="1231" spans="22:22" x14ac:dyDescent="0.35">
      <c r="V1231" s="36"/>
    </row>
    <row r="1232" spans="22:22" x14ac:dyDescent="0.35">
      <c r="V1232" s="36"/>
    </row>
    <row r="1233" spans="22:22" x14ac:dyDescent="0.35">
      <c r="V1233" s="36"/>
    </row>
    <row r="1234" spans="22:22" x14ac:dyDescent="0.35">
      <c r="V1234" s="36"/>
    </row>
    <row r="1235" spans="22:22" x14ac:dyDescent="0.35">
      <c r="V1235" s="36"/>
    </row>
    <row r="1236" spans="22:22" x14ac:dyDescent="0.35">
      <c r="V1236" s="36"/>
    </row>
    <row r="1237" spans="22:22" x14ac:dyDescent="0.35">
      <c r="V1237" s="36"/>
    </row>
    <row r="1238" spans="22:22" x14ac:dyDescent="0.35">
      <c r="V1238" s="36"/>
    </row>
    <row r="1239" spans="22:22" x14ac:dyDescent="0.35">
      <c r="V1239" s="36"/>
    </row>
    <row r="1240" spans="22:22" x14ac:dyDescent="0.35">
      <c r="V1240" s="36"/>
    </row>
    <row r="1241" spans="22:22" x14ac:dyDescent="0.35">
      <c r="V1241" s="36"/>
    </row>
    <row r="1242" spans="22:22" x14ac:dyDescent="0.35">
      <c r="V1242" s="36"/>
    </row>
    <row r="1243" spans="22:22" x14ac:dyDescent="0.35">
      <c r="V1243" s="36"/>
    </row>
    <row r="1244" spans="22:22" x14ac:dyDescent="0.35">
      <c r="V1244" s="36"/>
    </row>
    <row r="1245" spans="22:22" x14ac:dyDescent="0.35">
      <c r="V1245" s="36"/>
    </row>
    <row r="1246" spans="22:22" x14ac:dyDescent="0.35">
      <c r="V1246" s="36"/>
    </row>
    <row r="1247" spans="22:22" x14ac:dyDescent="0.35">
      <c r="V1247" s="36"/>
    </row>
    <row r="1248" spans="22:22" x14ac:dyDescent="0.35">
      <c r="V1248" s="36"/>
    </row>
    <row r="1249" spans="22:22" x14ac:dyDescent="0.35">
      <c r="V1249" s="36"/>
    </row>
    <row r="1250" spans="22:22" x14ac:dyDescent="0.35">
      <c r="V1250" s="36"/>
    </row>
    <row r="1251" spans="22:22" x14ac:dyDescent="0.35">
      <c r="V1251" s="36"/>
    </row>
    <row r="1252" spans="22:22" x14ac:dyDescent="0.35">
      <c r="V1252" s="36"/>
    </row>
    <row r="1253" spans="22:22" x14ac:dyDescent="0.35">
      <c r="V1253" s="36"/>
    </row>
    <row r="1254" spans="22:22" x14ac:dyDescent="0.35">
      <c r="V1254" s="36"/>
    </row>
    <row r="1255" spans="22:22" x14ac:dyDescent="0.35">
      <c r="V1255" s="36"/>
    </row>
    <row r="1256" spans="22:22" x14ac:dyDescent="0.35">
      <c r="V1256" s="36"/>
    </row>
    <row r="1257" spans="22:22" x14ac:dyDescent="0.35">
      <c r="V1257" s="36"/>
    </row>
    <row r="1258" spans="22:22" x14ac:dyDescent="0.35">
      <c r="V1258" s="36"/>
    </row>
    <row r="1259" spans="22:22" x14ac:dyDescent="0.35">
      <c r="V1259" s="36"/>
    </row>
    <row r="1260" spans="22:22" x14ac:dyDescent="0.35">
      <c r="V1260" s="36"/>
    </row>
    <row r="1261" spans="22:22" x14ac:dyDescent="0.35">
      <c r="V1261" s="36"/>
    </row>
    <row r="1262" spans="22:22" x14ac:dyDescent="0.35">
      <c r="V1262" s="36"/>
    </row>
    <row r="1263" spans="22:22" x14ac:dyDescent="0.35">
      <c r="V1263" s="36"/>
    </row>
    <row r="1264" spans="22:22" x14ac:dyDescent="0.35">
      <c r="V1264" s="36"/>
    </row>
    <row r="1265" spans="22:22" x14ac:dyDescent="0.35">
      <c r="V1265" s="36"/>
    </row>
    <row r="1266" spans="22:22" x14ac:dyDescent="0.35">
      <c r="V1266" s="36"/>
    </row>
    <row r="1267" spans="22:22" x14ac:dyDescent="0.35">
      <c r="V1267" s="36"/>
    </row>
    <row r="1268" spans="22:22" x14ac:dyDescent="0.35">
      <c r="V1268" s="36"/>
    </row>
    <row r="1269" spans="22:22" x14ac:dyDescent="0.35">
      <c r="V1269" s="36"/>
    </row>
    <row r="1270" spans="22:22" x14ac:dyDescent="0.35">
      <c r="V1270" s="36"/>
    </row>
    <row r="1271" spans="22:22" x14ac:dyDescent="0.35">
      <c r="V1271" s="36"/>
    </row>
    <row r="1272" spans="22:22" x14ac:dyDescent="0.35">
      <c r="V1272" s="36"/>
    </row>
    <row r="1273" spans="22:22" x14ac:dyDescent="0.35">
      <c r="V1273" s="36"/>
    </row>
    <row r="1274" spans="22:22" x14ac:dyDescent="0.35">
      <c r="V1274" s="36"/>
    </row>
    <row r="1275" spans="22:22" x14ac:dyDescent="0.35">
      <c r="V1275" s="36"/>
    </row>
    <row r="1276" spans="22:22" x14ac:dyDescent="0.35">
      <c r="V1276" s="36"/>
    </row>
    <row r="1277" spans="22:22" x14ac:dyDescent="0.35">
      <c r="V1277" s="36"/>
    </row>
    <row r="1278" spans="22:22" x14ac:dyDescent="0.35">
      <c r="V1278" s="36"/>
    </row>
    <row r="1279" spans="22:22" x14ac:dyDescent="0.35">
      <c r="V1279" s="36"/>
    </row>
    <row r="1280" spans="22:22" x14ac:dyDescent="0.35">
      <c r="V1280" s="36"/>
    </row>
    <row r="1281" spans="22:22" x14ac:dyDescent="0.35">
      <c r="V1281" s="36"/>
    </row>
    <row r="1282" spans="22:22" x14ac:dyDescent="0.35">
      <c r="V1282" s="36"/>
    </row>
    <row r="1283" spans="22:22" x14ac:dyDescent="0.35">
      <c r="V1283" s="36"/>
    </row>
    <row r="1284" spans="22:22" x14ac:dyDescent="0.35">
      <c r="V1284" s="36"/>
    </row>
    <row r="1285" spans="22:22" x14ac:dyDescent="0.35">
      <c r="V1285" s="36"/>
    </row>
    <row r="1286" spans="22:22" x14ac:dyDescent="0.35">
      <c r="V1286" s="36"/>
    </row>
    <row r="1287" spans="22:22" x14ac:dyDescent="0.35">
      <c r="V1287" s="36"/>
    </row>
    <row r="1288" spans="22:22" x14ac:dyDescent="0.35">
      <c r="V1288" s="36"/>
    </row>
    <row r="1289" spans="22:22" x14ac:dyDescent="0.35">
      <c r="V1289" s="36"/>
    </row>
    <row r="1290" spans="22:22" x14ac:dyDescent="0.35">
      <c r="V1290" s="36"/>
    </row>
    <row r="1291" spans="22:22" x14ac:dyDescent="0.35">
      <c r="V1291" s="36"/>
    </row>
    <row r="1292" spans="22:22" x14ac:dyDescent="0.35">
      <c r="V1292" s="36"/>
    </row>
    <row r="1293" spans="22:22" x14ac:dyDescent="0.35">
      <c r="V1293" s="36"/>
    </row>
    <row r="1294" spans="22:22" x14ac:dyDescent="0.35">
      <c r="V1294" s="36"/>
    </row>
    <row r="1295" spans="22:22" x14ac:dyDescent="0.35">
      <c r="V1295" s="36"/>
    </row>
    <row r="1296" spans="22:22" x14ac:dyDescent="0.35">
      <c r="V1296" s="36"/>
    </row>
    <row r="1297" spans="22:22" x14ac:dyDescent="0.35">
      <c r="V1297" s="36"/>
    </row>
    <row r="1298" spans="22:22" x14ac:dyDescent="0.35">
      <c r="V1298" s="36"/>
    </row>
    <row r="1299" spans="22:22" x14ac:dyDescent="0.35">
      <c r="V1299" s="36"/>
    </row>
    <row r="1300" spans="22:22" x14ac:dyDescent="0.35">
      <c r="V1300" s="36"/>
    </row>
    <row r="1301" spans="22:22" x14ac:dyDescent="0.35">
      <c r="V1301" s="36"/>
    </row>
    <row r="1302" spans="22:22" x14ac:dyDescent="0.35">
      <c r="V1302" s="36"/>
    </row>
    <row r="1303" spans="22:22" x14ac:dyDescent="0.35">
      <c r="V1303" s="36"/>
    </row>
    <row r="1304" spans="22:22" x14ac:dyDescent="0.35">
      <c r="V1304" s="36"/>
    </row>
    <row r="1305" spans="22:22" x14ac:dyDescent="0.35">
      <c r="V1305" s="36"/>
    </row>
    <row r="1306" spans="22:22" x14ac:dyDescent="0.35">
      <c r="V1306" s="36"/>
    </row>
    <row r="1307" spans="22:22" x14ac:dyDescent="0.35">
      <c r="V1307" s="36"/>
    </row>
    <row r="1308" spans="22:22" x14ac:dyDescent="0.35">
      <c r="V1308" s="36"/>
    </row>
    <row r="1309" spans="22:22" x14ac:dyDescent="0.35">
      <c r="V1309" s="36"/>
    </row>
    <row r="1310" spans="22:22" x14ac:dyDescent="0.35">
      <c r="V1310" s="36"/>
    </row>
    <row r="1311" spans="22:22" x14ac:dyDescent="0.35">
      <c r="V1311" s="36"/>
    </row>
    <row r="1312" spans="22:22" x14ac:dyDescent="0.35">
      <c r="V1312" s="36"/>
    </row>
    <row r="1313" spans="22:22" x14ac:dyDescent="0.35">
      <c r="V1313" s="36"/>
    </row>
    <row r="1314" spans="22:22" x14ac:dyDescent="0.35">
      <c r="V1314" s="36"/>
    </row>
    <row r="1315" spans="22:22" x14ac:dyDescent="0.35">
      <c r="V1315" s="36"/>
    </row>
    <row r="1316" spans="22:22" x14ac:dyDescent="0.35">
      <c r="V1316" s="36"/>
    </row>
    <row r="1317" spans="22:22" x14ac:dyDescent="0.35">
      <c r="V1317" s="36"/>
    </row>
    <row r="1318" spans="22:22" x14ac:dyDescent="0.35">
      <c r="V1318" s="36"/>
    </row>
    <row r="1319" spans="22:22" x14ac:dyDescent="0.35">
      <c r="V1319" s="36"/>
    </row>
    <row r="1320" spans="22:22" x14ac:dyDescent="0.35">
      <c r="V1320" s="36"/>
    </row>
    <row r="1321" spans="22:22" x14ac:dyDescent="0.35">
      <c r="V1321" s="36"/>
    </row>
    <row r="1322" spans="22:22" x14ac:dyDescent="0.35">
      <c r="V1322" s="36"/>
    </row>
    <row r="1323" spans="22:22" x14ac:dyDescent="0.35">
      <c r="V1323" s="36"/>
    </row>
    <row r="1324" spans="22:22" x14ac:dyDescent="0.35">
      <c r="V1324" s="36"/>
    </row>
    <row r="1325" spans="22:22" x14ac:dyDescent="0.35">
      <c r="V1325" s="36"/>
    </row>
    <row r="1326" spans="22:22" x14ac:dyDescent="0.35">
      <c r="V1326" s="36"/>
    </row>
    <row r="1327" spans="22:22" x14ac:dyDescent="0.35">
      <c r="V1327" s="36"/>
    </row>
    <row r="1328" spans="22:22" x14ac:dyDescent="0.35">
      <c r="V1328" s="36"/>
    </row>
    <row r="1329" spans="22:22" x14ac:dyDescent="0.35">
      <c r="V1329" s="36"/>
    </row>
    <row r="1330" spans="22:22" x14ac:dyDescent="0.35">
      <c r="V1330" s="36"/>
    </row>
    <row r="1331" spans="22:22" x14ac:dyDescent="0.35">
      <c r="V1331" s="36"/>
    </row>
    <row r="1332" spans="22:22" x14ac:dyDescent="0.35">
      <c r="V1332" s="36"/>
    </row>
    <row r="1333" spans="22:22" x14ac:dyDescent="0.35">
      <c r="V1333" s="36"/>
    </row>
    <row r="1334" spans="22:22" x14ac:dyDescent="0.35">
      <c r="V1334" s="36"/>
    </row>
    <row r="1335" spans="22:22" x14ac:dyDescent="0.35">
      <c r="V1335" s="36"/>
    </row>
    <row r="1336" spans="22:22" x14ac:dyDescent="0.35">
      <c r="V1336" s="36"/>
    </row>
    <row r="1337" spans="22:22" x14ac:dyDescent="0.35">
      <c r="V1337" s="36"/>
    </row>
    <row r="1338" spans="22:22" x14ac:dyDescent="0.35">
      <c r="V1338" s="36"/>
    </row>
    <row r="1339" spans="22:22" x14ac:dyDescent="0.35">
      <c r="V1339" s="36"/>
    </row>
    <row r="1340" spans="22:22" x14ac:dyDescent="0.35">
      <c r="V1340" s="36"/>
    </row>
    <row r="1341" spans="22:22" x14ac:dyDescent="0.35">
      <c r="V1341" s="36"/>
    </row>
    <row r="1342" spans="22:22" x14ac:dyDescent="0.35">
      <c r="V1342" s="36"/>
    </row>
    <row r="1343" spans="22:22" x14ac:dyDescent="0.35">
      <c r="V1343" s="36"/>
    </row>
    <row r="1344" spans="22:22" x14ac:dyDescent="0.35">
      <c r="V1344" s="36"/>
    </row>
    <row r="1345" spans="22:22" x14ac:dyDescent="0.35">
      <c r="V1345" s="36"/>
    </row>
    <row r="1346" spans="22:22" x14ac:dyDescent="0.35">
      <c r="V1346" s="36"/>
    </row>
    <row r="1347" spans="22:22" x14ac:dyDescent="0.35">
      <c r="V1347" s="36"/>
    </row>
    <row r="1348" spans="22:22" x14ac:dyDescent="0.35">
      <c r="V1348" s="36"/>
    </row>
    <row r="1349" spans="22:22" x14ac:dyDescent="0.35">
      <c r="V1349" s="36"/>
    </row>
    <row r="1350" spans="22:22" x14ac:dyDescent="0.35">
      <c r="V1350" s="36"/>
    </row>
    <row r="1351" spans="22:22" x14ac:dyDescent="0.35">
      <c r="V1351" s="36"/>
    </row>
    <row r="1352" spans="22:22" x14ac:dyDescent="0.35">
      <c r="V1352" s="36"/>
    </row>
    <row r="1353" spans="22:22" x14ac:dyDescent="0.35">
      <c r="V1353" s="36"/>
    </row>
    <row r="1354" spans="22:22" x14ac:dyDescent="0.35">
      <c r="V1354" s="36"/>
    </row>
    <row r="1355" spans="22:22" x14ac:dyDescent="0.35">
      <c r="V1355" s="36"/>
    </row>
    <row r="1356" spans="22:22" x14ac:dyDescent="0.35">
      <c r="V1356" s="36"/>
    </row>
    <row r="1357" spans="22:22" x14ac:dyDescent="0.35">
      <c r="V1357" s="36"/>
    </row>
    <row r="1358" spans="22:22" x14ac:dyDescent="0.35">
      <c r="V1358" s="36"/>
    </row>
    <row r="1359" spans="22:22" x14ac:dyDescent="0.35">
      <c r="V1359" s="36"/>
    </row>
    <row r="1360" spans="22:22" x14ac:dyDescent="0.35">
      <c r="V1360" s="36"/>
    </row>
    <row r="1361" spans="22:22" x14ac:dyDescent="0.35">
      <c r="V1361" s="36"/>
    </row>
    <row r="1362" spans="22:22" x14ac:dyDescent="0.35">
      <c r="V1362" s="36"/>
    </row>
    <row r="1363" spans="22:22" x14ac:dyDescent="0.35">
      <c r="V1363" s="36"/>
    </row>
    <row r="1364" spans="22:22" x14ac:dyDescent="0.35">
      <c r="V1364" s="36"/>
    </row>
    <row r="1365" spans="22:22" x14ac:dyDescent="0.35">
      <c r="V1365" s="36"/>
    </row>
    <row r="1366" spans="22:22" x14ac:dyDescent="0.35">
      <c r="V1366" s="36"/>
    </row>
    <row r="1367" spans="22:22" x14ac:dyDescent="0.35">
      <c r="V1367" s="36"/>
    </row>
    <row r="1368" spans="22:22" x14ac:dyDescent="0.35">
      <c r="V1368" s="36"/>
    </row>
    <row r="1369" spans="22:22" x14ac:dyDescent="0.35">
      <c r="V1369" s="36"/>
    </row>
    <row r="1370" spans="22:22" x14ac:dyDescent="0.35">
      <c r="V1370" s="36"/>
    </row>
    <row r="1371" spans="22:22" x14ac:dyDescent="0.35">
      <c r="V1371" s="36"/>
    </row>
    <row r="1372" spans="22:22" x14ac:dyDescent="0.35">
      <c r="V1372" s="36"/>
    </row>
    <row r="1373" spans="22:22" x14ac:dyDescent="0.35">
      <c r="V1373" s="36"/>
    </row>
    <row r="1374" spans="22:22" x14ac:dyDescent="0.35">
      <c r="V1374" s="36"/>
    </row>
    <row r="1375" spans="22:22" x14ac:dyDescent="0.35">
      <c r="V1375" s="36"/>
    </row>
    <row r="1376" spans="22:22" x14ac:dyDescent="0.35">
      <c r="V1376" s="36"/>
    </row>
    <row r="1377" spans="22:22" x14ac:dyDescent="0.35">
      <c r="V1377" s="36"/>
    </row>
    <row r="1378" spans="22:22" x14ac:dyDescent="0.35">
      <c r="V1378" s="36"/>
    </row>
    <row r="1379" spans="22:22" x14ac:dyDescent="0.35">
      <c r="V1379" s="36"/>
    </row>
    <row r="1380" spans="22:22" x14ac:dyDescent="0.35">
      <c r="V1380" s="36"/>
    </row>
    <row r="1381" spans="22:22" x14ac:dyDescent="0.35">
      <c r="V1381" s="36"/>
    </row>
    <row r="1382" spans="22:22" x14ac:dyDescent="0.35">
      <c r="V1382" s="36"/>
    </row>
    <row r="1383" spans="22:22" x14ac:dyDescent="0.35">
      <c r="V1383" s="36"/>
    </row>
    <row r="1384" spans="22:22" x14ac:dyDescent="0.35">
      <c r="V1384" s="36"/>
    </row>
    <row r="1385" spans="22:22" x14ac:dyDescent="0.35">
      <c r="V1385" s="36"/>
    </row>
    <row r="1386" spans="22:22" x14ac:dyDescent="0.35">
      <c r="V1386" s="36"/>
    </row>
    <row r="1387" spans="22:22" x14ac:dyDescent="0.35">
      <c r="V1387" s="36"/>
    </row>
    <row r="1388" spans="22:22" x14ac:dyDescent="0.35">
      <c r="V1388" s="36"/>
    </row>
    <row r="1389" spans="22:22" x14ac:dyDescent="0.35">
      <c r="V1389" s="36"/>
    </row>
    <row r="1390" spans="22:22" x14ac:dyDescent="0.35">
      <c r="V1390" s="36"/>
    </row>
    <row r="1391" spans="22:22" x14ac:dyDescent="0.35">
      <c r="V1391" s="36"/>
    </row>
    <row r="1392" spans="22:22" x14ac:dyDescent="0.35">
      <c r="V1392" s="36"/>
    </row>
    <row r="1393" spans="22:22" x14ac:dyDescent="0.35">
      <c r="V1393" s="36"/>
    </row>
    <row r="1394" spans="22:22" x14ac:dyDescent="0.35">
      <c r="V1394" s="36"/>
    </row>
    <row r="1395" spans="22:22" x14ac:dyDescent="0.35">
      <c r="V1395" s="36"/>
    </row>
    <row r="1396" spans="22:22" x14ac:dyDescent="0.35">
      <c r="V1396" s="36"/>
    </row>
    <row r="1397" spans="22:22" x14ac:dyDescent="0.35">
      <c r="V1397" s="36"/>
    </row>
    <row r="1398" spans="22:22" x14ac:dyDescent="0.35">
      <c r="V1398" s="36"/>
    </row>
    <row r="1399" spans="22:22" x14ac:dyDescent="0.35">
      <c r="V1399" s="36"/>
    </row>
    <row r="1400" spans="22:22" x14ac:dyDescent="0.35">
      <c r="V1400" s="36"/>
    </row>
    <row r="1401" spans="22:22" x14ac:dyDescent="0.35">
      <c r="V1401" s="36"/>
    </row>
    <row r="1402" spans="22:22" x14ac:dyDescent="0.35">
      <c r="V1402" s="36"/>
    </row>
    <row r="1403" spans="22:22" x14ac:dyDescent="0.35">
      <c r="V1403" s="36"/>
    </row>
    <row r="1404" spans="22:22" x14ac:dyDescent="0.35">
      <c r="V1404" s="36"/>
    </row>
    <row r="1405" spans="22:22" x14ac:dyDescent="0.35">
      <c r="V1405" s="36"/>
    </row>
    <row r="1406" spans="22:22" x14ac:dyDescent="0.35">
      <c r="V1406" s="36"/>
    </row>
    <row r="1407" spans="22:22" x14ac:dyDescent="0.35">
      <c r="V1407" s="36"/>
    </row>
    <row r="1408" spans="22:22" x14ac:dyDescent="0.35">
      <c r="V1408" s="36"/>
    </row>
    <row r="1409" spans="22:22" x14ac:dyDescent="0.35">
      <c r="V1409" s="36"/>
    </row>
    <row r="1410" spans="22:22" x14ac:dyDescent="0.35">
      <c r="V1410" s="36"/>
    </row>
    <row r="1411" spans="22:22" x14ac:dyDescent="0.35">
      <c r="V1411" s="36"/>
    </row>
    <row r="1412" spans="22:22" x14ac:dyDescent="0.35">
      <c r="V1412" s="36"/>
    </row>
    <row r="1413" spans="22:22" x14ac:dyDescent="0.35">
      <c r="V1413" s="36"/>
    </row>
    <row r="1414" spans="22:22" x14ac:dyDescent="0.35">
      <c r="V1414" s="36"/>
    </row>
    <row r="1415" spans="22:22" x14ac:dyDescent="0.35">
      <c r="V1415" s="36"/>
    </row>
    <row r="1416" spans="22:22" x14ac:dyDescent="0.35">
      <c r="V1416" s="36"/>
    </row>
    <row r="1417" spans="22:22" x14ac:dyDescent="0.35">
      <c r="V1417" s="36"/>
    </row>
    <row r="1418" spans="22:22" x14ac:dyDescent="0.35">
      <c r="V1418" s="36"/>
    </row>
    <row r="1419" spans="22:22" x14ac:dyDescent="0.35">
      <c r="V1419" s="36"/>
    </row>
    <row r="1420" spans="22:22" x14ac:dyDescent="0.35">
      <c r="V1420" s="36"/>
    </row>
    <row r="1421" spans="22:22" x14ac:dyDescent="0.35">
      <c r="V1421" s="36"/>
    </row>
    <row r="1422" spans="22:22" x14ac:dyDescent="0.35">
      <c r="V1422" s="36"/>
    </row>
    <row r="1423" spans="22:22" x14ac:dyDescent="0.35">
      <c r="V1423" s="36"/>
    </row>
    <row r="1424" spans="22:22" x14ac:dyDescent="0.35">
      <c r="V1424" s="36"/>
    </row>
    <row r="1425" spans="22:22" x14ac:dyDescent="0.35">
      <c r="V1425" s="36"/>
    </row>
    <row r="1426" spans="22:22" x14ac:dyDescent="0.35">
      <c r="V1426" s="36"/>
    </row>
    <row r="1427" spans="22:22" x14ac:dyDescent="0.35">
      <c r="V1427" s="36"/>
    </row>
    <row r="1428" spans="22:22" x14ac:dyDescent="0.35">
      <c r="V1428" s="36"/>
    </row>
    <row r="1429" spans="22:22" x14ac:dyDescent="0.35">
      <c r="V1429" s="36"/>
    </row>
    <row r="1430" spans="22:22" x14ac:dyDescent="0.35">
      <c r="V1430" s="36"/>
    </row>
    <row r="1431" spans="22:22" x14ac:dyDescent="0.35">
      <c r="V1431" s="36"/>
    </row>
    <row r="1432" spans="22:22" x14ac:dyDescent="0.35">
      <c r="V1432" s="36"/>
    </row>
    <row r="1433" spans="22:22" x14ac:dyDescent="0.35">
      <c r="V1433" s="36"/>
    </row>
    <row r="1434" spans="22:22" x14ac:dyDescent="0.35">
      <c r="V1434" s="36"/>
    </row>
    <row r="1435" spans="22:22" x14ac:dyDescent="0.35">
      <c r="V1435" s="36"/>
    </row>
    <row r="1436" spans="22:22" x14ac:dyDescent="0.35">
      <c r="V1436" s="36"/>
    </row>
    <row r="1437" spans="22:22" x14ac:dyDescent="0.35">
      <c r="V1437" s="36"/>
    </row>
    <row r="1438" spans="22:22" x14ac:dyDescent="0.35">
      <c r="V1438" s="36"/>
    </row>
    <row r="1439" spans="22:22" x14ac:dyDescent="0.35">
      <c r="V1439" s="36"/>
    </row>
    <row r="1440" spans="22:22" x14ac:dyDescent="0.35">
      <c r="V1440" s="36"/>
    </row>
    <row r="1441" spans="22:22" x14ac:dyDescent="0.35">
      <c r="V1441" s="36"/>
    </row>
    <row r="1442" spans="22:22" x14ac:dyDescent="0.35">
      <c r="V1442" s="36"/>
    </row>
    <row r="1443" spans="22:22" x14ac:dyDescent="0.35">
      <c r="V1443" s="36"/>
    </row>
    <row r="1444" spans="22:22" x14ac:dyDescent="0.35">
      <c r="V1444" s="36"/>
    </row>
    <row r="1445" spans="22:22" x14ac:dyDescent="0.35">
      <c r="V1445" s="36"/>
    </row>
    <row r="1446" spans="22:22" x14ac:dyDescent="0.35">
      <c r="V1446" s="36"/>
    </row>
    <row r="1447" spans="22:22" x14ac:dyDescent="0.35">
      <c r="V1447" s="36"/>
    </row>
    <row r="1448" spans="22:22" x14ac:dyDescent="0.35">
      <c r="V1448" s="36"/>
    </row>
    <row r="1449" spans="22:22" x14ac:dyDescent="0.35">
      <c r="V1449" s="36"/>
    </row>
    <row r="1450" spans="22:22" x14ac:dyDescent="0.35">
      <c r="V1450" s="36"/>
    </row>
    <row r="1451" spans="22:22" x14ac:dyDescent="0.35">
      <c r="V1451" s="36"/>
    </row>
    <row r="1452" spans="22:22" x14ac:dyDescent="0.35">
      <c r="V1452" s="36"/>
    </row>
    <row r="1453" spans="22:22" x14ac:dyDescent="0.35">
      <c r="V1453" s="36"/>
    </row>
    <row r="1454" spans="22:22" x14ac:dyDescent="0.35">
      <c r="V1454" s="36"/>
    </row>
    <row r="1455" spans="22:22" x14ac:dyDescent="0.35">
      <c r="V1455" s="36"/>
    </row>
    <row r="1456" spans="22:22" x14ac:dyDescent="0.35">
      <c r="V1456" s="36"/>
    </row>
    <row r="1457" spans="22:22" x14ac:dyDescent="0.35">
      <c r="V1457" s="36"/>
    </row>
    <row r="1458" spans="22:22" x14ac:dyDescent="0.35">
      <c r="V1458" s="36"/>
    </row>
    <row r="1459" spans="22:22" x14ac:dyDescent="0.35">
      <c r="V1459" s="36"/>
    </row>
    <row r="1460" spans="22:22" x14ac:dyDescent="0.35">
      <c r="V1460" s="36"/>
    </row>
    <row r="1461" spans="22:22" x14ac:dyDescent="0.35">
      <c r="V1461" s="36"/>
    </row>
    <row r="1462" spans="22:22" x14ac:dyDescent="0.35">
      <c r="V1462" s="36"/>
    </row>
    <row r="1463" spans="22:22" x14ac:dyDescent="0.35">
      <c r="V1463" s="36"/>
    </row>
    <row r="1464" spans="22:22" x14ac:dyDescent="0.35">
      <c r="V1464" s="36"/>
    </row>
    <row r="1465" spans="22:22" x14ac:dyDescent="0.35">
      <c r="V1465" s="36"/>
    </row>
    <row r="1466" spans="22:22" x14ac:dyDescent="0.35">
      <c r="V1466" s="36"/>
    </row>
    <row r="1467" spans="22:22" x14ac:dyDescent="0.35">
      <c r="V1467" s="36"/>
    </row>
    <row r="1468" spans="22:22" x14ac:dyDescent="0.35">
      <c r="V1468" s="36"/>
    </row>
    <row r="1469" spans="22:22" x14ac:dyDescent="0.35">
      <c r="V1469" s="36"/>
    </row>
    <row r="1470" spans="22:22" x14ac:dyDescent="0.35">
      <c r="V1470" s="36"/>
    </row>
    <row r="1471" spans="22:22" x14ac:dyDescent="0.35">
      <c r="V1471" s="36"/>
    </row>
    <row r="1472" spans="22:22" x14ac:dyDescent="0.35">
      <c r="V1472" s="36"/>
    </row>
    <row r="1473" spans="22:22" x14ac:dyDescent="0.35">
      <c r="V1473" s="36"/>
    </row>
    <row r="1474" spans="22:22" x14ac:dyDescent="0.35">
      <c r="V1474" s="36"/>
    </row>
    <row r="1475" spans="22:22" x14ac:dyDescent="0.35">
      <c r="V1475" s="36"/>
    </row>
    <row r="1476" spans="22:22" x14ac:dyDescent="0.35">
      <c r="V1476" s="36"/>
    </row>
    <row r="1477" spans="22:22" x14ac:dyDescent="0.35">
      <c r="V1477" s="36"/>
    </row>
    <row r="1478" spans="22:22" x14ac:dyDescent="0.35">
      <c r="V1478" s="36"/>
    </row>
    <row r="1479" spans="22:22" x14ac:dyDescent="0.35">
      <c r="V1479" s="36"/>
    </row>
    <row r="1480" spans="22:22" x14ac:dyDescent="0.35">
      <c r="V1480" s="36"/>
    </row>
    <row r="1481" spans="22:22" x14ac:dyDescent="0.35">
      <c r="V1481" s="36"/>
    </row>
    <row r="1482" spans="22:22" x14ac:dyDescent="0.35">
      <c r="V1482" s="36"/>
    </row>
    <row r="1483" spans="22:22" x14ac:dyDescent="0.35">
      <c r="V1483" s="36"/>
    </row>
    <row r="1484" spans="22:22" x14ac:dyDescent="0.35">
      <c r="V1484" s="36"/>
    </row>
    <row r="1485" spans="22:22" x14ac:dyDescent="0.35">
      <c r="V1485" s="36"/>
    </row>
    <row r="1486" spans="22:22" x14ac:dyDescent="0.35">
      <c r="V1486" s="36"/>
    </row>
    <row r="1487" spans="22:22" x14ac:dyDescent="0.35">
      <c r="V1487" s="36"/>
    </row>
    <row r="1488" spans="22:22" x14ac:dyDescent="0.35">
      <c r="V1488" s="36"/>
    </row>
    <row r="1489" spans="22:22" x14ac:dyDescent="0.35">
      <c r="V1489" s="36"/>
    </row>
    <row r="1490" spans="22:22" x14ac:dyDescent="0.35">
      <c r="V1490" s="36"/>
    </row>
    <row r="1491" spans="22:22" x14ac:dyDescent="0.35">
      <c r="V1491" s="36"/>
    </row>
    <row r="1492" spans="22:22" x14ac:dyDescent="0.35">
      <c r="V1492" s="36"/>
    </row>
    <row r="1493" spans="22:22" x14ac:dyDescent="0.35">
      <c r="V1493" s="36"/>
    </row>
    <row r="1494" spans="22:22" x14ac:dyDescent="0.35">
      <c r="V1494" s="36"/>
    </row>
    <row r="1495" spans="22:22" x14ac:dyDescent="0.35">
      <c r="V1495" s="36"/>
    </row>
    <row r="1496" spans="22:22" x14ac:dyDescent="0.35">
      <c r="V1496" s="36"/>
    </row>
    <row r="1497" spans="22:22" x14ac:dyDescent="0.35">
      <c r="V1497" s="36"/>
    </row>
    <row r="1498" spans="22:22" x14ac:dyDescent="0.35">
      <c r="V1498" s="36"/>
    </row>
    <row r="1499" spans="22:22" x14ac:dyDescent="0.35">
      <c r="V1499" s="36"/>
    </row>
    <row r="1500" spans="22:22" x14ac:dyDescent="0.35">
      <c r="V1500" s="36"/>
    </row>
    <row r="1501" spans="22:22" x14ac:dyDescent="0.35">
      <c r="V1501" s="36"/>
    </row>
    <row r="1502" spans="22:22" x14ac:dyDescent="0.35">
      <c r="V1502" s="36"/>
    </row>
    <row r="1503" spans="22:22" x14ac:dyDescent="0.35">
      <c r="V1503" s="36"/>
    </row>
    <row r="1504" spans="22:22" x14ac:dyDescent="0.35">
      <c r="V1504" s="36"/>
    </row>
    <row r="1505" spans="22:22" x14ac:dyDescent="0.35">
      <c r="V1505" s="36"/>
    </row>
    <row r="1506" spans="22:22" x14ac:dyDescent="0.35">
      <c r="V1506" s="36"/>
    </row>
    <row r="1507" spans="22:22" x14ac:dyDescent="0.35">
      <c r="V1507" s="36"/>
    </row>
    <row r="1508" spans="22:22" x14ac:dyDescent="0.35">
      <c r="V1508" s="36"/>
    </row>
    <row r="1509" spans="22:22" x14ac:dyDescent="0.35">
      <c r="V1509" s="36"/>
    </row>
    <row r="1510" spans="22:22" x14ac:dyDescent="0.35">
      <c r="V1510" s="36"/>
    </row>
    <row r="1511" spans="22:22" x14ac:dyDescent="0.35">
      <c r="V1511" s="36"/>
    </row>
    <row r="1512" spans="22:22" x14ac:dyDescent="0.35">
      <c r="V1512" s="36"/>
    </row>
    <row r="1513" spans="22:22" x14ac:dyDescent="0.35">
      <c r="V1513" s="36"/>
    </row>
    <row r="1514" spans="22:22" x14ac:dyDescent="0.35">
      <c r="V1514" s="36"/>
    </row>
    <row r="1515" spans="22:22" x14ac:dyDescent="0.35">
      <c r="V1515" s="36"/>
    </row>
    <row r="1516" spans="22:22" x14ac:dyDescent="0.35">
      <c r="V1516" s="36"/>
    </row>
    <row r="1517" spans="22:22" x14ac:dyDescent="0.35">
      <c r="V1517" s="36"/>
    </row>
    <row r="1518" spans="22:22" x14ac:dyDescent="0.35">
      <c r="V1518" s="36"/>
    </row>
    <row r="1519" spans="22:22" x14ac:dyDescent="0.35">
      <c r="V1519" s="36"/>
    </row>
    <row r="1520" spans="22:22" x14ac:dyDescent="0.35">
      <c r="V1520" s="36"/>
    </row>
    <row r="1521" spans="22:22" x14ac:dyDescent="0.35">
      <c r="V1521" s="36"/>
    </row>
    <row r="1522" spans="22:22" x14ac:dyDescent="0.35">
      <c r="V1522" s="36"/>
    </row>
    <row r="1523" spans="22:22" x14ac:dyDescent="0.35">
      <c r="V1523" s="36"/>
    </row>
    <row r="1524" spans="22:22" x14ac:dyDescent="0.35">
      <c r="V1524" s="36"/>
    </row>
    <row r="1525" spans="22:22" x14ac:dyDescent="0.35">
      <c r="V1525" s="36"/>
    </row>
    <row r="1526" spans="22:22" x14ac:dyDescent="0.35">
      <c r="V1526" s="36"/>
    </row>
    <row r="1527" spans="22:22" x14ac:dyDescent="0.35">
      <c r="V1527" s="36"/>
    </row>
    <row r="1528" spans="22:22" x14ac:dyDescent="0.35">
      <c r="V1528" s="36"/>
    </row>
    <row r="1529" spans="22:22" x14ac:dyDescent="0.35">
      <c r="V1529" s="36"/>
    </row>
    <row r="1530" spans="22:22" x14ac:dyDescent="0.35">
      <c r="V1530" s="36"/>
    </row>
    <row r="1531" spans="22:22" x14ac:dyDescent="0.35">
      <c r="V1531" s="36"/>
    </row>
    <row r="1532" spans="22:22" x14ac:dyDescent="0.35">
      <c r="V1532" s="36"/>
    </row>
    <row r="1533" spans="22:22" x14ac:dyDescent="0.35">
      <c r="V1533" s="36"/>
    </row>
    <row r="1534" spans="22:22" x14ac:dyDescent="0.35">
      <c r="V1534" s="36"/>
    </row>
    <row r="1535" spans="22:22" x14ac:dyDescent="0.35">
      <c r="V1535" s="36"/>
    </row>
    <row r="1536" spans="22:22" x14ac:dyDescent="0.35">
      <c r="V1536" s="36"/>
    </row>
    <row r="1537" spans="22:22" x14ac:dyDescent="0.35">
      <c r="V1537" s="36"/>
    </row>
    <row r="1538" spans="22:22" x14ac:dyDescent="0.35">
      <c r="V1538" s="36"/>
    </row>
    <row r="1539" spans="22:22" x14ac:dyDescent="0.35">
      <c r="V1539" s="36"/>
    </row>
    <row r="1540" spans="22:22" x14ac:dyDescent="0.35">
      <c r="V1540" s="36"/>
    </row>
    <row r="1541" spans="22:22" x14ac:dyDescent="0.35">
      <c r="V1541" s="36"/>
    </row>
    <row r="1542" spans="22:22" x14ac:dyDescent="0.35">
      <c r="V1542" s="36"/>
    </row>
    <row r="1543" spans="22:22" x14ac:dyDescent="0.35">
      <c r="V1543" s="36"/>
    </row>
    <row r="1544" spans="22:22" x14ac:dyDescent="0.35">
      <c r="V1544" s="36"/>
    </row>
    <row r="1545" spans="22:22" x14ac:dyDescent="0.35">
      <c r="V1545" s="36"/>
    </row>
    <row r="1546" spans="22:22" x14ac:dyDescent="0.35">
      <c r="V1546" s="36"/>
    </row>
    <row r="1547" spans="22:22" x14ac:dyDescent="0.35">
      <c r="V1547" s="36"/>
    </row>
    <row r="1548" spans="22:22" x14ac:dyDescent="0.35">
      <c r="V1548" s="36"/>
    </row>
    <row r="1549" spans="22:22" x14ac:dyDescent="0.35">
      <c r="V1549" s="36"/>
    </row>
    <row r="1550" spans="22:22" x14ac:dyDescent="0.35">
      <c r="V1550" s="36"/>
    </row>
    <row r="1551" spans="22:22" x14ac:dyDescent="0.35">
      <c r="V1551" s="36"/>
    </row>
    <row r="1552" spans="22:22" x14ac:dyDescent="0.35">
      <c r="V1552" s="36"/>
    </row>
    <row r="1553" spans="22:22" x14ac:dyDescent="0.35">
      <c r="V1553" s="36"/>
    </row>
    <row r="1554" spans="22:22" x14ac:dyDescent="0.35">
      <c r="V1554" s="36"/>
    </row>
    <row r="1555" spans="22:22" x14ac:dyDescent="0.35">
      <c r="V1555" s="36"/>
    </row>
    <row r="1556" spans="22:22" x14ac:dyDescent="0.35">
      <c r="V1556" s="36"/>
    </row>
    <row r="1557" spans="22:22" x14ac:dyDescent="0.35">
      <c r="V1557" s="36"/>
    </row>
    <row r="1558" spans="22:22" x14ac:dyDescent="0.35">
      <c r="V1558" s="36"/>
    </row>
    <row r="1559" spans="22:22" x14ac:dyDescent="0.35">
      <c r="V1559" s="36"/>
    </row>
    <row r="1560" spans="22:22" x14ac:dyDescent="0.35">
      <c r="V1560" s="36"/>
    </row>
    <row r="1561" spans="22:22" x14ac:dyDescent="0.35">
      <c r="V1561" s="36"/>
    </row>
    <row r="1562" spans="22:22" x14ac:dyDescent="0.35">
      <c r="V1562" s="36"/>
    </row>
    <row r="1563" spans="22:22" x14ac:dyDescent="0.35">
      <c r="V1563" s="36"/>
    </row>
    <row r="1564" spans="22:22" x14ac:dyDescent="0.35">
      <c r="V1564" s="36"/>
    </row>
    <row r="1565" spans="22:22" x14ac:dyDescent="0.35">
      <c r="V1565" s="36"/>
    </row>
    <row r="1566" spans="22:22" x14ac:dyDescent="0.35">
      <c r="V1566" s="36"/>
    </row>
    <row r="1567" spans="22:22" x14ac:dyDescent="0.35">
      <c r="V1567" s="36"/>
    </row>
    <row r="1568" spans="22:22" x14ac:dyDescent="0.35">
      <c r="V1568" s="36"/>
    </row>
    <row r="1569" spans="22:22" x14ac:dyDescent="0.35">
      <c r="V1569" s="36"/>
    </row>
    <row r="1570" spans="22:22" x14ac:dyDescent="0.35">
      <c r="V1570" s="36"/>
    </row>
    <row r="1571" spans="22:22" x14ac:dyDescent="0.35">
      <c r="V1571" s="36"/>
    </row>
    <row r="1572" spans="22:22" x14ac:dyDescent="0.35">
      <c r="V1572" s="36"/>
    </row>
    <row r="1573" spans="22:22" x14ac:dyDescent="0.35">
      <c r="V1573" s="36"/>
    </row>
    <row r="1574" spans="22:22" x14ac:dyDescent="0.35">
      <c r="V1574" s="36"/>
    </row>
    <row r="1575" spans="22:22" x14ac:dyDescent="0.35">
      <c r="V1575" s="36"/>
    </row>
    <row r="1576" spans="22:22" x14ac:dyDescent="0.35">
      <c r="V1576" s="36"/>
    </row>
    <row r="1577" spans="22:22" x14ac:dyDescent="0.35">
      <c r="V1577" s="36"/>
    </row>
    <row r="1578" spans="22:22" x14ac:dyDescent="0.35">
      <c r="V1578" s="36"/>
    </row>
    <row r="1579" spans="22:22" x14ac:dyDescent="0.35">
      <c r="V1579" s="36"/>
    </row>
    <row r="1580" spans="22:22" x14ac:dyDescent="0.35">
      <c r="V1580" s="36"/>
    </row>
    <row r="1581" spans="22:22" x14ac:dyDescent="0.35">
      <c r="V1581" s="36"/>
    </row>
    <row r="1582" spans="22:22" x14ac:dyDescent="0.35">
      <c r="V1582" s="36"/>
    </row>
    <row r="1583" spans="22:22" x14ac:dyDescent="0.35">
      <c r="V1583" s="36"/>
    </row>
    <row r="1584" spans="22:22" x14ac:dyDescent="0.35">
      <c r="V1584" s="36"/>
    </row>
    <row r="1585" spans="22:22" x14ac:dyDescent="0.35">
      <c r="V1585" s="36"/>
    </row>
    <row r="1586" spans="22:22" x14ac:dyDescent="0.35">
      <c r="V1586" s="36"/>
    </row>
    <row r="1587" spans="22:22" x14ac:dyDescent="0.35">
      <c r="V1587" s="36"/>
    </row>
    <row r="1588" spans="22:22" x14ac:dyDescent="0.35">
      <c r="V1588" s="36"/>
    </row>
    <row r="1589" spans="22:22" x14ac:dyDescent="0.35">
      <c r="V1589" s="36"/>
    </row>
    <row r="1590" spans="22:22" x14ac:dyDescent="0.35">
      <c r="V1590" s="36"/>
    </row>
    <row r="1591" spans="22:22" x14ac:dyDescent="0.35">
      <c r="V1591" s="36"/>
    </row>
    <row r="1592" spans="22:22" x14ac:dyDescent="0.35">
      <c r="V1592" s="36"/>
    </row>
    <row r="1593" spans="22:22" x14ac:dyDescent="0.35">
      <c r="V1593" s="36"/>
    </row>
    <row r="1594" spans="22:22" x14ac:dyDescent="0.35">
      <c r="V1594" s="36"/>
    </row>
    <row r="1595" spans="22:22" x14ac:dyDescent="0.35">
      <c r="V1595" s="36"/>
    </row>
    <row r="1596" spans="22:22" x14ac:dyDescent="0.35">
      <c r="V1596" s="36"/>
    </row>
    <row r="1597" spans="22:22" x14ac:dyDescent="0.35">
      <c r="V1597" s="36"/>
    </row>
    <row r="1598" spans="22:22" x14ac:dyDescent="0.35">
      <c r="V1598" s="36"/>
    </row>
    <row r="1599" spans="22:22" x14ac:dyDescent="0.35">
      <c r="V1599" s="36"/>
    </row>
    <row r="1600" spans="22:22" x14ac:dyDescent="0.35">
      <c r="V1600" s="36"/>
    </row>
    <row r="1601" spans="22:22" x14ac:dyDescent="0.35">
      <c r="V1601" s="36"/>
    </row>
    <row r="1602" spans="22:22" x14ac:dyDescent="0.35">
      <c r="V1602" s="36"/>
    </row>
    <row r="1603" spans="22:22" x14ac:dyDescent="0.35">
      <c r="V1603" s="36"/>
    </row>
    <row r="1604" spans="22:22" x14ac:dyDescent="0.35">
      <c r="V1604" s="36"/>
    </row>
    <row r="1605" spans="22:22" x14ac:dyDescent="0.35">
      <c r="V1605" s="36"/>
    </row>
    <row r="1606" spans="22:22" x14ac:dyDescent="0.35">
      <c r="V1606" s="36"/>
    </row>
    <row r="1607" spans="22:22" x14ac:dyDescent="0.35">
      <c r="V1607" s="36"/>
    </row>
    <row r="1608" spans="22:22" x14ac:dyDescent="0.35">
      <c r="V1608" s="36"/>
    </row>
    <row r="1609" spans="22:22" x14ac:dyDescent="0.35">
      <c r="V1609" s="36"/>
    </row>
    <row r="1610" spans="22:22" x14ac:dyDescent="0.35">
      <c r="V1610" s="36"/>
    </row>
    <row r="1611" spans="22:22" x14ac:dyDescent="0.35">
      <c r="V1611" s="36"/>
    </row>
    <row r="1612" spans="22:22" x14ac:dyDescent="0.35">
      <c r="V1612" s="36"/>
    </row>
    <row r="1613" spans="22:22" x14ac:dyDescent="0.35">
      <c r="V1613" s="36"/>
    </row>
    <row r="1614" spans="22:22" x14ac:dyDescent="0.35">
      <c r="V1614" s="36"/>
    </row>
    <row r="1615" spans="22:22" x14ac:dyDescent="0.35">
      <c r="V1615" s="36"/>
    </row>
    <row r="1616" spans="22:22" x14ac:dyDescent="0.35">
      <c r="V1616" s="36"/>
    </row>
    <row r="1617" spans="22:22" x14ac:dyDescent="0.35">
      <c r="V1617" s="36"/>
    </row>
    <row r="1618" spans="22:22" x14ac:dyDescent="0.35">
      <c r="V1618" s="36"/>
    </row>
    <row r="1619" spans="22:22" x14ac:dyDescent="0.35">
      <c r="V1619" s="36"/>
    </row>
    <row r="1620" spans="22:22" x14ac:dyDescent="0.35">
      <c r="V1620" s="36"/>
    </row>
    <row r="1621" spans="22:22" x14ac:dyDescent="0.35">
      <c r="V1621" s="36"/>
    </row>
    <row r="1622" spans="22:22" x14ac:dyDescent="0.35">
      <c r="V1622" s="36"/>
    </row>
    <row r="1623" spans="22:22" x14ac:dyDescent="0.35">
      <c r="V1623" s="36"/>
    </row>
    <row r="1624" spans="22:22" x14ac:dyDescent="0.35">
      <c r="V1624" s="36"/>
    </row>
    <row r="1625" spans="22:22" x14ac:dyDescent="0.35">
      <c r="V1625" s="36"/>
    </row>
    <row r="1626" spans="22:22" x14ac:dyDescent="0.35">
      <c r="V1626" s="36"/>
    </row>
    <row r="1627" spans="22:22" x14ac:dyDescent="0.35">
      <c r="V1627" s="36"/>
    </row>
    <row r="1628" spans="22:22" x14ac:dyDescent="0.35">
      <c r="V1628" s="36"/>
    </row>
    <row r="1629" spans="22:22" x14ac:dyDescent="0.35">
      <c r="V1629" s="36"/>
    </row>
    <row r="1630" spans="22:22" x14ac:dyDescent="0.35">
      <c r="V1630" s="36"/>
    </row>
    <row r="1631" spans="22:22" x14ac:dyDescent="0.35">
      <c r="V1631" s="36"/>
    </row>
    <row r="1632" spans="22:22" x14ac:dyDescent="0.35">
      <c r="V1632" s="36"/>
    </row>
    <row r="1633" spans="22:22" x14ac:dyDescent="0.35">
      <c r="V1633" s="36"/>
    </row>
    <row r="1634" spans="22:22" x14ac:dyDescent="0.35">
      <c r="V1634" s="36"/>
    </row>
    <row r="1635" spans="22:22" x14ac:dyDescent="0.35">
      <c r="V1635" s="36"/>
    </row>
    <row r="1636" spans="22:22" x14ac:dyDescent="0.35">
      <c r="V1636" s="36"/>
    </row>
    <row r="1637" spans="22:22" x14ac:dyDescent="0.35">
      <c r="V1637" s="36"/>
    </row>
    <row r="1638" spans="22:22" x14ac:dyDescent="0.35">
      <c r="V1638" s="36"/>
    </row>
    <row r="1639" spans="22:22" x14ac:dyDescent="0.35">
      <c r="V1639" s="36"/>
    </row>
    <row r="1640" spans="22:22" x14ac:dyDescent="0.35">
      <c r="V1640" s="36"/>
    </row>
    <row r="1641" spans="22:22" x14ac:dyDescent="0.35">
      <c r="V1641" s="36"/>
    </row>
    <row r="1642" spans="22:22" x14ac:dyDescent="0.35">
      <c r="V1642" s="36"/>
    </row>
    <row r="1643" spans="22:22" x14ac:dyDescent="0.35">
      <c r="V1643" s="36"/>
    </row>
    <row r="1644" spans="22:22" x14ac:dyDescent="0.35">
      <c r="V1644" s="36"/>
    </row>
    <row r="1645" spans="22:22" x14ac:dyDescent="0.35">
      <c r="V1645" s="36"/>
    </row>
    <row r="1646" spans="22:22" x14ac:dyDescent="0.35">
      <c r="V1646" s="36"/>
    </row>
    <row r="1647" spans="22:22" x14ac:dyDescent="0.35">
      <c r="V1647" s="36"/>
    </row>
    <row r="1648" spans="22:22" x14ac:dyDescent="0.35">
      <c r="V1648" s="36"/>
    </row>
    <row r="1649" spans="22:22" x14ac:dyDescent="0.35">
      <c r="V1649" s="36"/>
    </row>
    <row r="1650" spans="22:22" x14ac:dyDescent="0.35">
      <c r="V1650" s="36"/>
    </row>
    <row r="1651" spans="22:22" x14ac:dyDescent="0.35">
      <c r="V1651" s="36"/>
    </row>
    <row r="1652" spans="22:22" x14ac:dyDescent="0.35">
      <c r="V1652" s="36"/>
    </row>
    <row r="1653" spans="22:22" x14ac:dyDescent="0.35">
      <c r="V1653" s="36"/>
    </row>
    <row r="1654" spans="22:22" x14ac:dyDescent="0.35">
      <c r="V1654" s="36"/>
    </row>
    <row r="1655" spans="22:22" x14ac:dyDescent="0.35">
      <c r="V1655" s="36"/>
    </row>
    <row r="1656" spans="22:22" x14ac:dyDescent="0.35">
      <c r="V1656" s="36"/>
    </row>
    <row r="1657" spans="22:22" x14ac:dyDescent="0.35">
      <c r="V1657" s="36"/>
    </row>
    <row r="1658" spans="22:22" x14ac:dyDescent="0.35">
      <c r="V1658" s="36"/>
    </row>
    <row r="1659" spans="22:22" x14ac:dyDescent="0.35">
      <c r="V1659" s="36"/>
    </row>
    <row r="1660" spans="22:22" x14ac:dyDescent="0.35">
      <c r="V1660" s="36"/>
    </row>
    <row r="1661" spans="22:22" x14ac:dyDescent="0.35">
      <c r="V1661" s="36"/>
    </row>
    <row r="1662" spans="22:22" x14ac:dyDescent="0.35">
      <c r="V1662" s="36"/>
    </row>
    <row r="1663" spans="22:22" x14ac:dyDescent="0.35">
      <c r="V1663" s="36"/>
    </row>
    <row r="1664" spans="22:22" x14ac:dyDescent="0.35">
      <c r="V1664" s="36"/>
    </row>
    <row r="1665" spans="22:22" x14ac:dyDescent="0.35">
      <c r="V1665" s="36"/>
    </row>
    <row r="1666" spans="22:22" x14ac:dyDescent="0.35">
      <c r="V1666" s="36"/>
    </row>
    <row r="1667" spans="22:22" x14ac:dyDescent="0.35">
      <c r="V1667" s="36"/>
    </row>
    <row r="1668" spans="22:22" x14ac:dyDescent="0.35">
      <c r="V1668" s="36"/>
    </row>
    <row r="1669" spans="22:22" x14ac:dyDescent="0.35">
      <c r="V1669" s="36"/>
    </row>
    <row r="1670" spans="22:22" x14ac:dyDescent="0.35">
      <c r="V1670" s="36"/>
    </row>
    <row r="1671" spans="22:22" x14ac:dyDescent="0.35">
      <c r="V1671" s="36"/>
    </row>
    <row r="1672" spans="22:22" x14ac:dyDescent="0.35">
      <c r="V1672" s="36"/>
    </row>
    <row r="1673" spans="22:22" x14ac:dyDescent="0.35">
      <c r="V1673" s="36"/>
    </row>
    <row r="1674" spans="22:22" x14ac:dyDescent="0.35">
      <c r="V1674" s="36"/>
    </row>
    <row r="1675" spans="22:22" x14ac:dyDescent="0.35">
      <c r="V1675" s="36"/>
    </row>
    <row r="1676" spans="22:22" x14ac:dyDescent="0.35">
      <c r="V1676" s="36"/>
    </row>
    <row r="1677" spans="22:22" x14ac:dyDescent="0.35">
      <c r="V1677" s="36"/>
    </row>
    <row r="1678" spans="22:22" x14ac:dyDescent="0.35">
      <c r="V1678" s="36"/>
    </row>
    <row r="1679" spans="22:22" x14ac:dyDescent="0.35">
      <c r="V1679" s="36"/>
    </row>
    <row r="1680" spans="22:22" x14ac:dyDescent="0.35">
      <c r="V1680" s="36"/>
    </row>
    <row r="1681" spans="22:22" x14ac:dyDescent="0.35">
      <c r="V1681" s="36"/>
    </row>
    <row r="1682" spans="22:22" x14ac:dyDescent="0.35">
      <c r="V1682" s="36"/>
    </row>
    <row r="1683" spans="22:22" x14ac:dyDescent="0.35">
      <c r="V1683" s="36"/>
    </row>
    <row r="1684" spans="22:22" x14ac:dyDescent="0.35">
      <c r="V1684" s="36"/>
    </row>
    <row r="1685" spans="22:22" x14ac:dyDescent="0.35">
      <c r="V1685" s="36"/>
    </row>
    <row r="1686" spans="22:22" x14ac:dyDescent="0.35">
      <c r="V1686" s="36"/>
    </row>
    <row r="1687" spans="22:22" x14ac:dyDescent="0.35">
      <c r="V1687" s="36"/>
    </row>
    <row r="1688" spans="22:22" x14ac:dyDescent="0.35">
      <c r="V1688" s="36"/>
    </row>
    <row r="1689" spans="22:22" x14ac:dyDescent="0.35">
      <c r="V1689" s="36"/>
    </row>
    <row r="1690" spans="22:22" x14ac:dyDescent="0.35">
      <c r="V1690" s="36"/>
    </row>
    <row r="1691" spans="22:22" x14ac:dyDescent="0.35">
      <c r="V1691" s="36"/>
    </row>
    <row r="1692" spans="22:22" x14ac:dyDescent="0.35">
      <c r="V1692" s="36"/>
    </row>
    <row r="1693" spans="22:22" x14ac:dyDescent="0.35">
      <c r="V1693" s="36"/>
    </row>
    <row r="1694" spans="22:22" x14ac:dyDescent="0.35">
      <c r="V1694" s="36"/>
    </row>
    <row r="1695" spans="22:22" x14ac:dyDescent="0.35">
      <c r="V1695" s="36"/>
    </row>
    <row r="1696" spans="22:22" x14ac:dyDescent="0.35">
      <c r="V1696" s="36"/>
    </row>
    <row r="1697" spans="22:22" x14ac:dyDescent="0.35">
      <c r="V1697" s="36"/>
    </row>
    <row r="1698" spans="22:22" x14ac:dyDescent="0.35">
      <c r="V1698" s="36"/>
    </row>
    <row r="1699" spans="22:22" x14ac:dyDescent="0.35">
      <c r="V1699" s="36"/>
    </row>
    <row r="1700" spans="22:22" x14ac:dyDescent="0.35">
      <c r="V1700" s="36"/>
    </row>
    <row r="1701" spans="22:22" x14ac:dyDescent="0.35">
      <c r="V1701" s="36"/>
    </row>
    <row r="1702" spans="22:22" x14ac:dyDescent="0.35">
      <c r="V1702" s="36"/>
    </row>
    <row r="1703" spans="22:22" x14ac:dyDescent="0.35">
      <c r="V1703" s="36"/>
    </row>
    <row r="1704" spans="22:22" x14ac:dyDescent="0.35">
      <c r="V1704" s="36"/>
    </row>
    <row r="1705" spans="22:22" x14ac:dyDescent="0.35">
      <c r="V1705" s="36"/>
    </row>
    <row r="1706" spans="22:22" x14ac:dyDescent="0.35">
      <c r="V1706" s="36"/>
    </row>
    <row r="1707" spans="22:22" x14ac:dyDescent="0.35">
      <c r="V1707" s="36"/>
    </row>
    <row r="1708" spans="22:22" x14ac:dyDescent="0.35">
      <c r="V1708" s="36"/>
    </row>
    <row r="1709" spans="22:22" x14ac:dyDescent="0.35">
      <c r="V1709" s="36"/>
    </row>
    <row r="1710" spans="22:22" x14ac:dyDescent="0.35">
      <c r="V1710" s="36"/>
    </row>
    <row r="1711" spans="22:22" x14ac:dyDescent="0.35">
      <c r="V1711" s="36"/>
    </row>
    <row r="1712" spans="22:22" x14ac:dyDescent="0.35">
      <c r="V1712" s="36"/>
    </row>
    <row r="1713" spans="22:22" x14ac:dyDescent="0.35">
      <c r="V1713" s="36"/>
    </row>
    <row r="1714" spans="22:22" x14ac:dyDescent="0.35">
      <c r="V1714" s="36"/>
    </row>
    <row r="1715" spans="22:22" x14ac:dyDescent="0.35">
      <c r="V1715" s="36"/>
    </row>
    <row r="1716" spans="22:22" x14ac:dyDescent="0.35">
      <c r="V1716" s="36"/>
    </row>
    <row r="1717" spans="22:22" x14ac:dyDescent="0.35">
      <c r="V1717" s="36"/>
    </row>
    <row r="1718" spans="22:22" x14ac:dyDescent="0.35">
      <c r="V1718" s="36"/>
    </row>
    <row r="1719" spans="22:22" x14ac:dyDescent="0.35">
      <c r="V1719" s="36"/>
    </row>
    <row r="1720" spans="22:22" x14ac:dyDescent="0.35">
      <c r="V1720" s="36"/>
    </row>
    <row r="1721" spans="22:22" x14ac:dyDescent="0.35">
      <c r="V1721" s="36"/>
    </row>
    <row r="1722" spans="22:22" x14ac:dyDescent="0.35">
      <c r="V1722" s="36"/>
    </row>
    <row r="1723" spans="22:22" x14ac:dyDescent="0.35">
      <c r="V1723" s="36"/>
    </row>
    <row r="1724" spans="22:22" x14ac:dyDescent="0.35">
      <c r="V1724" s="36"/>
    </row>
    <row r="1725" spans="22:22" x14ac:dyDescent="0.35">
      <c r="V1725" s="36"/>
    </row>
    <row r="1726" spans="22:22" x14ac:dyDescent="0.35">
      <c r="V1726" s="36"/>
    </row>
    <row r="1727" spans="22:22" x14ac:dyDescent="0.35">
      <c r="V1727" s="36"/>
    </row>
    <row r="1728" spans="22:22" x14ac:dyDescent="0.35">
      <c r="V1728" s="36"/>
    </row>
    <row r="1729" spans="22:22" x14ac:dyDescent="0.35">
      <c r="V1729" s="36"/>
    </row>
    <row r="1730" spans="22:22" x14ac:dyDescent="0.35">
      <c r="V1730" s="36"/>
    </row>
    <row r="1731" spans="22:22" x14ac:dyDescent="0.35">
      <c r="V1731" s="36"/>
    </row>
    <row r="1732" spans="22:22" x14ac:dyDescent="0.35">
      <c r="V1732" s="36"/>
    </row>
    <row r="1733" spans="22:22" x14ac:dyDescent="0.35">
      <c r="V1733" s="36"/>
    </row>
    <row r="1734" spans="22:22" x14ac:dyDescent="0.35">
      <c r="V1734" s="36"/>
    </row>
    <row r="1735" spans="22:22" x14ac:dyDescent="0.35">
      <c r="V1735" s="36"/>
    </row>
    <row r="1736" spans="22:22" x14ac:dyDescent="0.35">
      <c r="V1736" s="36"/>
    </row>
    <row r="1737" spans="22:22" x14ac:dyDescent="0.35">
      <c r="V1737" s="36"/>
    </row>
    <row r="1738" spans="22:22" x14ac:dyDescent="0.35">
      <c r="V1738" s="36"/>
    </row>
    <row r="1739" spans="22:22" x14ac:dyDescent="0.35">
      <c r="V1739" s="36"/>
    </row>
    <row r="1740" spans="22:22" x14ac:dyDescent="0.35">
      <c r="V1740" s="36"/>
    </row>
    <row r="1741" spans="22:22" x14ac:dyDescent="0.35">
      <c r="V1741" s="36"/>
    </row>
    <row r="1742" spans="22:22" x14ac:dyDescent="0.35">
      <c r="V1742" s="36"/>
    </row>
    <row r="1743" spans="22:22" x14ac:dyDescent="0.35">
      <c r="V1743" s="36"/>
    </row>
    <row r="1744" spans="22:22" x14ac:dyDescent="0.35">
      <c r="V1744" s="36"/>
    </row>
    <row r="1745" spans="22:22" x14ac:dyDescent="0.35">
      <c r="V1745" s="36"/>
    </row>
    <row r="1746" spans="22:22" x14ac:dyDescent="0.35">
      <c r="V1746" s="36"/>
    </row>
    <row r="1747" spans="22:22" x14ac:dyDescent="0.35">
      <c r="V1747" s="36"/>
    </row>
    <row r="1748" spans="22:22" x14ac:dyDescent="0.35">
      <c r="V1748" s="36"/>
    </row>
    <row r="1749" spans="22:22" x14ac:dyDescent="0.35">
      <c r="V1749" s="36"/>
    </row>
    <row r="1750" spans="22:22" x14ac:dyDescent="0.35">
      <c r="V1750" s="36"/>
    </row>
    <row r="1751" spans="22:22" x14ac:dyDescent="0.35">
      <c r="V1751" s="36"/>
    </row>
    <row r="1752" spans="22:22" x14ac:dyDescent="0.35">
      <c r="V1752" s="36"/>
    </row>
    <row r="1753" spans="22:22" x14ac:dyDescent="0.35">
      <c r="V1753" s="36"/>
    </row>
    <row r="1754" spans="22:22" x14ac:dyDescent="0.35">
      <c r="V1754" s="36"/>
    </row>
    <row r="1755" spans="22:22" x14ac:dyDescent="0.35">
      <c r="V1755" s="36"/>
    </row>
    <row r="1756" spans="22:22" x14ac:dyDescent="0.35">
      <c r="V1756" s="36"/>
    </row>
    <row r="1757" spans="22:22" x14ac:dyDescent="0.35">
      <c r="V1757" s="36"/>
    </row>
    <row r="1758" spans="22:22" x14ac:dyDescent="0.35">
      <c r="V1758" s="36"/>
    </row>
    <row r="1759" spans="22:22" x14ac:dyDescent="0.35">
      <c r="V1759" s="36"/>
    </row>
    <row r="1760" spans="22:22" x14ac:dyDescent="0.35">
      <c r="V1760" s="36"/>
    </row>
    <row r="1761" spans="22:22" x14ac:dyDescent="0.35">
      <c r="V1761" s="36"/>
    </row>
    <row r="1762" spans="22:22" x14ac:dyDescent="0.35">
      <c r="V1762" s="36"/>
    </row>
    <row r="1763" spans="22:22" x14ac:dyDescent="0.35">
      <c r="V1763" s="36"/>
    </row>
    <row r="1764" spans="22:22" x14ac:dyDescent="0.35">
      <c r="V1764" s="36"/>
    </row>
    <row r="1765" spans="22:22" x14ac:dyDescent="0.35">
      <c r="V1765" s="36"/>
    </row>
    <row r="1766" spans="22:22" x14ac:dyDescent="0.35">
      <c r="V1766" s="36"/>
    </row>
    <row r="1767" spans="22:22" x14ac:dyDescent="0.35">
      <c r="V1767" s="36"/>
    </row>
    <row r="1768" spans="22:22" x14ac:dyDescent="0.35">
      <c r="V1768" s="36"/>
    </row>
    <row r="1769" spans="22:22" x14ac:dyDescent="0.35">
      <c r="V1769" s="36"/>
    </row>
    <row r="1770" spans="22:22" x14ac:dyDescent="0.35">
      <c r="V1770" s="36"/>
    </row>
    <row r="1771" spans="22:22" x14ac:dyDescent="0.35">
      <c r="V1771" s="36"/>
    </row>
    <row r="1772" spans="22:22" x14ac:dyDescent="0.35">
      <c r="V1772" s="36"/>
    </row>
    <row r="1773" spans="22:22" x14ac:dyDescent="0.35">
      <c r="V1773" s="36"/>
    </row>
    <row r="1774" spans="22:22" x14ac:dyDescent="0.35">
      <c r="V1774" s="36"/>
    </row>
    <row r="1775" spans="22:22" x14ac:dyDescent="0.35">
      <c r="V1775" s="36"/>
    </row>
    <row r="1776" spans="22:22" x14ac:dyDescent="0.35">
      <c r="V1776" s="36"/>
    </row>
    <row r="1777" spans="22:22" x14ac:dyDescent="0.35">
      <c r="V1777" s="36"/>
    </row>
    <row r="1778" spans="22:22" x14ac:dyDescent="0.35">
      <c r="V1778" s="36"/>
    </row>
    <row r="1779" spans="22:22" x14ac:dyDescent="0.35">
      <c r="V1779" s="36"/>
    </row>
    <row r="1780" spans="22:22" x14ac:dyDescent="0.35">
      <c r="V1780" s="36"/>
    </row>
    <row r="1781" spans="22:22" x14ac:dyDescent="0.35">
      <c r="V1781" s="36"/>
    </row>
    <row r="1782" spans="22:22" x14ac:dyDescent="0.35">
      <c r="V1782" s="36"/>
    </row>
    <row r="1783" spans="22:22" x14ac:dyDescent="0.35">
      <c r="V1783" s="36"/>
    </row>
    <row r="1784" spans="22:22" x14ac:dyDescent="0.35">
      <c r="V1784" s="36"/>
    </row>
    <row r="1785" spans="22:22" x14ac:dyDescent="0.35">
      <c r="V1785" s="36"/>
    </row>
    <row r="1786" spans="22:22" x14ac:dyDescent="0.35">
      <c r="V1786" s="36"/>
    </row>
    <row r="1787" spans="22:22" x14ac:dyDescent="0.35">
      <c r="V1787" s="36"/>
    </row>
    <row r="1788" spans="22:22" x14ac:dyDescent="0.35">
      <c r="V1788" s="36"/>
    </row>
    <row r="1789" spans="22:22" x14ac:dyDescent="0.35">
      <c r="V1789" s="36"/>
    </row>
    <row r="1790" spans="22:22" x14ac:dyDescent="0.35">
      <c r="V1790" s="36"/>
    </row>
    <row r="1791" spans="22:22" x14ac:dyDescent="0.35">
      <c r="V1791" s="36"/>
    </row>
    <row r="1792" spans="22:22" x14ac:dyDescent="0.35">
      <c r="V1792" s="36"/>
    </row>
    <row r="1793" spans="22:22" x14ac:dyDescent="0.35">
      <c r="V1793" s="36"/>
    </row>
    <row r="1794" spans="22:22" x14ac:dyDescent="0.35">
      <c r="V1794" s="36"/>
    </row>
    <row r="1795" spans="22:22" x14ac:dyDescent="0.35">
      <c r="V1795" s="36"/>
    </row>
    <row r="1796" spans="22:22" x14ac:dyDescent="0.35">
      <c r="V1796" s="36"/>
    </row>
    <row r="1797" spans="22:22" x14ac:dyDescent="0.35">
      <c r="V1797" s="36"/>
    </row>
    <row r="1798" spans="22:22" x14ac:dyDescent="0.35">
      <c r="V1798" s="36"/>
    </row>
    <row r="1799" spans="22:22" x14ac:dyDescent="0.35">
      <c r="V1799" s="36"/>
    </row>
    <row r="1800" spans="22:22" x14ac:dyDescent="0.35">
      <c r="V1800" s="36"/>
    </row>
    <row r="1801" spans="22:22" x14ac:dyDescent="0.35">
      <c r="V1801" s="36"/>
    </row>
    <row r="1802" spans="22:22" x14ac:dyDescent="0.35">
      <c r="V1802" s="36"/>
    </row>
    <row r="1803" spans="22:22" x14ac:dyDescent="0.35">
      <c r="V1803" s="36"/>
    </row>
    <row r="1804" spans="22:22" x14ac:dyDescent="0.35">
      <c r="V1804" s="36"/>
    </row>
    <row r="1805" spans="22:22" x14ac:dyDescent="0.35">
      <c r="V1805" s="36"/>
    </row>
    <row r="1806" spans="22:22" x14ac:dyDescent="0.35">
      <c r="V1806" s="36"/>
    </row>
    <row r="1807" spans="22:22" x14ac:dyDescent="0.35">
      <c r="V1807" s="36"/>
    </row>
    <row r="1808" spans="22:22" x14ac:dyDescent="0.35">
      <c r="V1808" s="36"/>
    </row>
    <row r="1809" spans="22:22" x14ac:dyDescent="0.35">
      <c r="V1809" s="36"/>
    </row>
    <row r="1810" spans="22:22" x14ac:dyDescent="0.35">
      <c r="V1810" s="36"/>
    </row>
    <row r="1811" spans="22:22" x14ac:dyDescent="0.35">
      <c r="V1811" s="36"/>
    </row>
    <row r="1812" spans="22:22" x14ac:dyDescent="0.35">
      <c r="V1812" s="36"/>
    </row>
    <row r="1813" spans="22:22" x14ac:dyDescent="0.35">
      <c r="V1813" s="36"/>
    </row>
    <row r="1814" spans="22:22" x14ac:dyDescent="0.35">
      <c r="V1814" s="36"/>
    </row>
    <row r="1815" spans="22:22" x14ac:dyDescent="0.35">
      <c r="V1815" s="36"/>
    </row>
    <row r="1816" spans="22:22" x14ac:dyDescent="0.35">
      <c r="V1816" s="36"/>
    </row>
    <row r="1817" spans="22:22" x14ac:dyDescent="0.35">
      <c r="V1817" s="36"/>
    </row>
    <row r="1818" spans="22:22" x14ac:dyDescent="0.35">
      <c r="V1818" s="36"/>
    </row>
    <row r="1819" spans="22:22" x14ac:dyDescent="0.35">
      <c r="V1819" s="36"/>
    </row>
    <row r="1820" spans="22:22" x14ac:dyDescent="0.35">
      <c r="V1820" s="36"/>
    </row>
    <row r="1821" spans="22:22" x14ac:dyDescent="0.35">
      <c r="V1821" s="36"/>
    </row>
    <row r="1822" spans="22:22" x14ac:dyDescent="0.35">
      <c r="V1822" s="36"/>
    </row>
    <row r="1823" spans="22:22" x14ac:dyDescent="0.35">
      <c r="V1823" s="36"/>
    </row>
    <row r="1824" spans="22:22" x14ac:dyDescent="0.35">
      <c r="V1824" s="36"/>
    </row>
    <row r="1825" spans="22:22" x14ac:dyDescent="0.35">
      <c r="V1825" s="36"/>
    </row>
    <row r="1826" spans="22:22" x14ac:dyDescent="0.35">
      <c r="V1826" s="36"/>
    </row>
    <row r="1827" spans="22:22" x14ac:dyDescent="0.35">
      <c r="V1827" s="36"/>
    </row>
    <row r="1828" spans="22:22" x14ac:dyDescent="0.35">
      <c r="V1828" s="36"/>
    </row>
    <row r="1829" spans="22:22" x14ac:dyDescent="0.35">
      <c r="V1829" s="36"/>
    </row>
    <row r="1830" spans="22:22" x14ac:dyDescent="0.35">
      <c r="V1830" s="36"/>
    </row>
    <row r="1831" spans="22:22" x14ac:dyDescent="0.35">
      <c r="V1831" s="36"/>
    </row>
    <row r="1832" spans="22:22" x14ac:dyDescent="0.35">
      <c r="V1832" s="36"/>
    </row>
    <row r="1833" spans="22:22" x14ac:dyDescent="0.35">
      <c r="V1833" s="36"/>
    </row>
    <row r="1834" spans="22:22" x14ac:dyDescent="0.35">
      <c r="V1834" s="36"/>
    </row>
    <row r="1835" spans="22:22" x14ac:dyDescent="0.35">
      <c r="V1835" s="36"/>
    </row>
    <row r="1836" spans="22:22" x14ac:dyDescent="0.35">
      <c r="V1836" s="36"/>
    </row>
    <row r="1837" spans="22:22" x14ac:dyDescent="0.35">
      <c r="V1837" s="36"/>
    </row>
    <row r="1838" spans="22:22" x14ac:dyDescent="0.35">
      <c r="V1838" s="36"/>
    </row>
    <row r="1839" spans="22:22" x14ac:dyDescent="0.35">
      <c r="V1839" s="36"/>
    </row>
    <row r="1840" spans="22:22" x14ac:dyDescent="0.35">
      <c r="V1840" s="36"/>
    </row>
    <row r="1841" spans="22:22" x14ac:dyDescent="0.35">
      <c r="V1841" s="36"/>
    </row>
    <row r="1842" spans="22:22" x14ac:dyDescent="0.35">
      <c r="V1842" s="36"/>
    </row>
    <row r="1843" spans="22:22" x14ac:dyDescent="0.35">
      <c r="V1843" s="36"/>
    </row>
    <row r="1844" spans="22:22" x14ac:dyDescent="0.35">
      <c r="V1844" s="36"/>
    </row>
    <row r="1845" spans="22:22" x14ac:dyDescent="0.35">
      <c r="V1845" s="36"/>
    </row>
    <row r="1846" spans="22:22" x14ac:dyDescent="0.35">
      <c r="V1846" s="36"/>
    </row>
    <row r="1847" spans="22:22" x14ac:dyDescent="0.35">
      <c r="V1847" s="36"/>
    </row>
    <row r="1848" spans="22:22" x14ac:dyDescent="0.35">
      <c r="V1848" s="36"/>
    </row>
    <row r="1849" spans="22:22" x14ac:dyDescent="0.35">
      <c r="V1849" s="36"/>
    </row>
    <row r="1850" spans="22:22" x14ac:dyDescent="0.35">
      <c r="V1850" s="36"/>
    </row>
    <row r="1851" spans="22:22" x14ac:dyDescent="0.35">
      <c r="V1851" s="36"/>
    </row>
    <row r="1852" spans="22:22" x14ac:dyDescent="0.35">
      <c r="V1852" s="36"/>
    </row>
    <row r="1853" spans="22:22" x14ac:dyDescent="0.35">
      <c r="V1853" s="36"/>
    </row>
    <row r="1854" spans="22:22" x14ac:dyDescent="0.35">
      <c r="V1854" s="36"/>
    </row>
    <row r="1855" spans="22:22" x14ac:dyDescent="0.35">
      <c r="V1855" s="36"/>
    </row>
    <row r="1856" spans="22:22" x14ac:dyDescent="0.35">
      <c r="V1856" s="36"/>
    </row>
    <row r="1857" spans="22:22" x14ac:dyDescent="0.35">
      <c r="V1857" s="36"/>
    </row>
    <row r="1858" spans="22:22" x14ac:dyDescent="0.35">
      <c r="V1858" s="36"/>
    </row>
    <row r="1859" spans="22:22" x14ac:dyDescent="0.35">
      <c r="V1859" s="36"/>
    </row>
    <row r="1860" spans="22:22" x14ac:dyDescent="0.35">
      <c r="V1860" s="36"/>
    </row>
    <row r="1861" spans="22:22" x14ac:dyDescent="0.35">
      <c r="V1861" s="36"/>
    </row>
    <row r="1862" spans="22:22" x14ac:dyDescent="0.35">
      <c r="V1862" s="36"/>
    </row>
    <row r="1863" spans="22:22" x14ac:dyDescent="0.35">
      <c r="V1863" s="36"/>
    </row>
    <row r="1864" spans="22:22" x14ac:dyDescent="0.35">
      <c r="V1864" s="36"/>
    </row>
    <row r="1865" spans="22:22" x14ac:dyDescent="0.35">
      <c r="V1865" s="36"/>
    </row>
    <row r="1866" spans="22:22" x14ac:dyDescent="0.35">
      <c r="V1866" s="36"/>
    </row>
    <row r="1867" spans="22:22" x14ac:dyDescent="0.35">
      <c r="V1867" s="36"/>
    </row>
    <row r="1868" spans="22:22" x14ac:dyDescent="0.35">
      <c r="V1868" s="36"/>
    </row>
    <row r="1869" spans="22:22" x14ac:dyDescent="0.35">
      <c r="V1869" s="36"/>
    </row>
    <row r="1870" spans="22:22" x14ac:dyDescent="0.35">
      <c r="V1870" s="36"/>
    </row>
    <row r="1871" spans="22:22" x14ac:dyDescent="0.35">
      <c r="V1871" s="36"/>
    </row>
    <row r="1872" spans="22:22" x14ac:dyDescent="0.35">
      <c r="V1872" s="36"/>
    </row>
    <row r="1873" spans="22:22" x14ac:dyDescent="0.35">
      <c r="V1873" s="36"/>
    </row>
    <row r="1874" spans="22:22" x14ac:dyDescent="0.35">
      <c r="V1874" s="36"/>
    </row>
    <row r="1875" spans="22:22" x14ac:dyDescent="0.35">
      <c r="V1875" s="36"/>
    </row>
    <row r="1876" spans="22:22" x14ac:dyDescent="0.35">
      <c r="V1876" s="36"/>
    </row>
    <row r="1877" spans="22:22" x14ac:dyDescent="0.35">
      <c r="V1877" s="36"/>
    </row>
    <row r="1878" spans="22:22" x14ac:dyDescent="0.35">
      <c r="V1878" s="36"/>
    </row>
    <row r="1879" spans="22:22" x14ac:dyDescent="0.35">
      <c r="V1879" s="36"/>
    </row>
    <row r="1880" spans="22:22" x14ac:dyDescent="0.35">
      <c r="V1880" s="36"/>
    </row>
    <row r="1881" spans="22:22" x14ac:dyDescent="0.35">
      <c r="V1881" s="36"/>
    </row>
    <row r="1882" spans="22:22" x14ac:dyDescent="0.35">
      <c r="V1882" s="36"/>
    </row>
    <row r="1883" spans="22:22" x14ac:dyDescent="0.35">
      <c r="V1883" s="36"/>
    </row>
    <row r="1884" spans="22:22" x14ac:dyDescent="0.35">
      <c r="V1884" s="36"/>
    </row>
    <row r="1885" spans="22:22" x14ac:dyDescent="0.35">
      <c r="V1885" s="36"/>
    </row>
    <row r="1886" spans="22:22" x14ac:dyDescent="0.35">
      <c r="V1886" s="36"/>
    </row>
    <row r="1887" spans="22:22" x14ac:dyDescent="0.35">
      <c r="V1887" s="36"/>
    </row>
    <row r="1888" spans="22:22" x14ac:dyDescent="0.35">
      <c r="V1888" s="36"/>
    </row>
    <row r="1889" spans="22:22" x14ac:dyDescent="0.35">
      <c r="V1889" s="36"/>
    </row>
    <row r="1890" spans="22:22" x14ac:dyDescent="0.35">
      <c r="V1890" s="36"/>
    </row>
    <row r="1891" spans="22:22" x14ac:dyDescent="0.35">
      <c r="V1891" s="36"/>
    </row>
    <row r="1892" spans="22:22" x14ac:dyDescent="0.35">
      <c r="V1892" s="36"/>
    </row>
    <row r="1893" spans="22:22" x14ac:dyDescent="0.35">
      <c r="V1893" s="36"/>
    </row>
    <row r="1894" spans="22:22" x14ac:dyDescent="0.35">
      <c r="V1894" s="36"/>
    </row>
    <row r="1895" spans="22:22" x14ac:dyDescent="0.35">
      <c r="V1895" s="36"/>
    </row>
    <row r="1896" spans="22:22" x14ac:dyDescent="0.35">
      <c r="V1896" s="36"/>
    </row>
    <row r="1897" spans="22:22" x14ac:dyDescent="0.35">
      <c r="V1897" s="36"/>
    </row>
    <row r="1898" spans="22:22" x14ac:dyDescent="0.35">
      <c r="V1898" s="36"/>
    </row>
    <row r="1899" spans="22:22" x14ac:dyDescent="0.35">
      <c r="V1899" s="36"/>
    </row>
    <row r="1900" spans="22:22" x14ac:dyDescent="0.35">
      <c r="V1900" s="36"/>
    </row>
    <row r="1901" spans="22:22" x14ac:dyDescent="0.35">
      <c r="V1901" s="36"/>
    </row>
    <row r="1902" spans="22:22" x14ac:dyDescent="0.35">
      <c r="V1902" s="36"/>
    </row>
    <row r="1903" spans="22:22" x14ac:dyDescent="0.35">
      <c r="V1903" s="36"/>
    </row>
    <row r="1904" spans="22:22" x14ac:dyDescent="0.35">
      <c r="V1904" s="36"/>
    </row>
    <row r="1905" spans="22:22" x14ac:dyDescent="0.35">
      <c r="V1905" s="36"/>
    </row>
    <row r="1906" spans="22:22" x14ac:dyDescent="0.35">
      <c r="V1906" s="36"/>
    </row>
    <row r="1907" spans="22:22" x14ac:dyDescent="0.35">
      <c r="V1907" s="36"/>
    </row>
    <row r="1908" spans="22:22" x14ac:dyDescent="0.35">
      <c r="V1908" s="36"/>
    </row>
    <row r="1909" spans="22:22" x14ac:dyDescent="0.35">
      <c r="V1909" s="36"/>
    </row>
    <row r="1910" spans="22:22" x14ac:dyDescent="0.35">
      <c r="V1910" s="36"/>
    </row>
    <row r="1911" spans="22:22" x14ac:dyDescent="0.35">
      <c r="V1911" s="36"/>
    </row>
    <row r="1912" spans="22:22" x14ac:dyDescent="0.35">
      <c r="V1912" s="36"/>
    </row>
    <row r="1913" spans="22:22" x14ac:dyDescent="0.35">
      <c r="V1913" s="36"/>
    </row>
    <row r="1914" spans="22:22" x14ac:dyDescent="0.35">
      <c r="V1914" s="36"/>
    </row>
    <row r="1915" spans="22:22" x14ac:dyDescent="0.35">
      <c r="V1915" s="36"/>
    </row>
    <row r="1916" spans="22:22" x14ac:dyDescent="0.35">
      <c r="V1916" s="36"/>
    </row>
    <row r="1917" spans="22:22" x14ac:dyDescent="0.35">
      <c r="V1917" s="36"/>
    </row>
    <row r="1918" spans="22:22" x14ac:dyDescent="0.35">
      <c r="V1918" s="36"/>
    </row>
    <row r="1919" spans="22:22" x14ac:dyDescent="0.35">
      <c r="V1919" s="36"/>
    </row>
    <row r="1920" spans="22:22" x14ac:dyDescent="0.35">
      <c r="V1920" s="36"/>
    </row>
    <row r="1921" spans="22:22" x14ac:dyDescent="0.35">
      <c r="V1921" s="36"/>
    </row>
    <row r="1922" spans="22:22" x14ac:dyDescent="0.35">
      <c r="V1922" s="36"/>
    </row>
    <row r="1923" spans="22:22" x14ac:dyDescent="0.35">
      <c r="V1923" s="36"/>
    </row>
    <row r="1924" spans="22:22" x14ac:dyDescent="0.35">
      <c r="V1924" s="36"/>
    </row>
    <row r="1925" spans="22:22" x14ac:dyDescent="0.35">
      <c r="V1925" s="36"/>
    </row>
    <row r="1926" spans="22:22" x14ac:dyDescent="0.35">
      <c r="V1926" s="36"/>
    </row>
    <row r="1927" spans="22:22" x14ac:dyDescent="0.35">
      <c r="V1927" s="36"/>
    </row>
    <row r="1928" spans="22:22" x14ac:dyDescent="0.35">
      <c r="V1928" s="36"/>
    </row>
    <row r="1929" spans="22:22" x14ac:dyDescent="0.35">
      <c r="V1929" s="36"/>
    </row>
    <row r="1930" spans="22:22" x14ac:dyDescent="0.35">
      <c r="V1930" s="36"/>
    </row>
    <row r="1931" spans="22:22" x14ac:dyDescent="0.35">
      <c r="V1931" s="36"/>
    </row>
    <row r="1932" spans="22:22" x14ac:dyDescent="0.35">
      <c r="V1932" s="36"/>
    </row>
    <row r="1933" spans="22:22" x14ac:dyDescent="0.35">
      <c r="V1933" s="36"/>
    </row>
    <row r="1934" spans="22:22" x14ac:dyDescent="0.35">
      <c r="V1934" s="36"/>
    </row>
    <row r="1935" spans="22:22" x14ac:dyDescent="0.35">
      <c r="V1935" s="36"/>
    </row>
    <row r="1936" spans="22:22" x14ac:dyDescent="0.35">
      <c r="V1936" s="36"/>
    </row>
    <row r="1937" spans="22:22" x14ac:dyDescent="0.35">
      <c r="V1937" s="36"/>
    </row>
    <row r="1938" spans="22:22" x14ac:dyDescent="0.35">
      <c r="V1938" s="36"/>
    </row>
    <row r="1939" spans="22:22" x14ac:dyDescent="0.35">
      <c r="V1939" s="36"/>
    </row>
    <row r="1940" spans="22:22" x14ac:dyDescent="0.35">
      <c r="V1940" s="36"/>
    </row>
    <row r="1941" spans="22:22" x14ac:dyDescent="0.35">
      <c r="V1941" s="36"/>
    </row>
    <row r="1942" spans="22:22" x14ac:dyDescent="0.35">
      <c r="V1942" s="36"/>
    </row>
    <row r="1943" spans="22:22" x14ac:dyDescent="0.35">
      <c r="V1943" s="36"/>
    </row>
    <row r="1944" spans="22:22" x14ac:dyDescent="0.35">
      <c r="V1944" s="36"/>
    </row>
    <row r="1945" spans="22:22" x14ac:dyDescent="0.35">
      <c r="V1945" s="36"/>
    </row>
    <row r="1946" spans="22:22" x14ac:dyDescent="0.35">
      <c r="V1946" s="36"/>
    </row>
    <row r="1947" spans="22:22" x14ac:dyDescent="0.35">
      <c r="V1947" s="36"/>
    </row>
    <row r="1948" spans="22:22" x14ac:dyDescent="0.35">
      <c r="V1948" s="36"/>
    </row>
    <row r="1949" spans="22:22" x14ac:dyDescent="0.35">
      <c r="V1949" s="36"/>
    </row>
    <row r="1950" spans="22:22" x14ac:dyDescent="0.35">
      <c r="V1950" s="36"/>
    </row>
    <row r="1951" spans="22:22" x14ac:dyDescent="0.35">
      <c r="V1951" s="36"/>
    </row>
    <row r="1952" spans="22:22" x14ac:dyDescent="0.35">
      <c r="V1952" s="36"/>
    </row>
    <row r="1953" spans="22:22" x14ac:dyDescent="0.35">
      <c r="V1953" s="36"/>
    </row>
    <row r="1954" spans="22:22" x14ac:dyDescent="0.35">
      <c r="V1954" s="36"/>
    </row>
    <row r="1955" spans="22:22" x14ac:dyDescent="0.35">
      <c r="V1955" s="36"/>
    </row>
    <row r="1956" spans="22:22" x14ac:dyDescent="0.35">
      <c r="V1956" s="36"/>
    </row>
    <row r="1957" spans="22:22" x14ac:dyDescent="0.35">
      <c r="V1957" s="36"/>
    </row>
    <row r="1958" spans="22:22" x14ac:dyDescent="0.35">
      <c r="V1958" s="36"/>
    </row>
    <row r="1959" spans="22:22" x14ac:dyDescent="0.35">
      <c r="V1959" s="36"/>
    </row>
    <row r="1960" spans="22:22" x14ac:dyDescent="0.35">
      <c r="V1960" s="36"/>
    </row>
    <row r="1961" spans="22:22" x14ac:dyDescent="0.35">
      <c r="V1961" s="36"/>
    </row>
    <row r="1962" spans="22:22" x14ac:dyDescent="0.35">
      <c r="V1962" s="36"/>
    </row>
    <row r="1963" spans="22:22" x14ac:dyDescent="0.35">
      <c r="V1963" s="36"/>
    </row>
    <row r="1964" spans="22:22" x14ac:dyDescent="0.35">
      <c r="V1964" s="36"/>
    </row>
    <row r="1965" spans="22:22" x14ac:dyDescent="0.35">
      <c r="V1965" s="36"/>
    </row>
    <row r="1966" spans="22:22" x14ac:dyDescent="0.35">
      <c r="V1966" s="36"/>
    </row>
    <row r="1967" spans="22:22" x14ac:dyDescent="0.35">
      <c r="V1967" s="36"/>
    </row>
    <row r="1968" spans="22:22" x14ac:dyDescent="0.35">
      <c r="V1968" s="36"/>
    </row>
    <row r="1969" spans="22:22" x14ac:dyDescent="0.35">
      <c r="V1969" s="36"/>
    </row>
    <row r="1970" spans="22:22" x14ac:dyDescent="0.35">
      <c r="V1970" s="36"/>
    </row>
    <row r="1971" spans="22:22" x14ac:dyDescent="0.35">
      <c r="V1971" s="36"/>
    </row>
    <row r="1972" spans="22:22" x14ac:dyDescent="0.35">
      <c r="V1972" s="36"/>
    </row>
    <row r="1973" spans="22:22" x14ac:dyDescent="0.35">
      <c r="V1973" s="36"/>
    </row>
    <row r="1974" spans="22:22" x14ac:dyDescent="0.35">
      <c r="V1974" s="36"/>
    </row>
    <row r="1975" spans="22:22" x14ac:dyDescent="0.35">
      <c r="V1975" s="36"/>
    </row>
    <row r="1976" spans="22:22" x14ac:dyDescent="0.35">
      <c r="V1976" s="36"/>
    </row>
    <row r="1977" spans="22:22" x14ac:dyDescent="0.35">
      <c r="V1977" s="36"/>
    </row>
    <row r="1978" spans="22:22" x14ac:dyDescent="0.35">
      <c r="V1978" s="36"/>
    </row>
    <row r="1979" spans="22:22" x14ac:dyDescent="0.35">
      <c r="V1979" s="36"/>
    </row>
    <row r="1980" spans="22:22" x14ac:dyDescent="0.35">
      <c r="V1980" s="36"/>
    </row>
    <row r="1981" spans="22:22" x14ac:dyDescent="0.35">
      <c r="V1981" s="36"/>
    </row>
    <row r="1982" spans="22:22" x14ac:dyDescent="0.35">
      <c r="V1982" s="36"/>
    </row>
    <row r="1983" spans="22:22" x14ac:dyDescent="0.35">
      <c r="V1983" s="36"/>
    </row>
    <row r="1984" spans="22:22" x14ac:dyDescent="0.35">
      <c r="V1984" s="36"/>
    </row>
    <row r="1985" spans="22:22" x14ac:dyDescent="0.35">
      <c r="V1985" s="36"/>
    </row>
    <row r="1986" spans="22:22" x14ac:dyDescent="0.35">
      <c r="V1986" s="36"/>
    </row>
    <row r="1987" spans="22:22" x14ac:dyDescent="0.35">
      <c r="V1987" s="36"/>
    </row>
    <row r="1988" spans="22:22" x14ac:dyDescent="0.35">
      <c r="V1988" s="36"/>
    </row>
    <row r="1989" spans="22:22" x14ac:dyDescent="0.35">
      <c r="V1989" s="36"/>
    </row>
    <row r="1990" spans="22:22" x14ac:dyDescent="0.35">
      <c r="V1990" s="36"/>
    </row>
    <row r="1991" spans="22:22" x14ac:dyDescent="0.35">
      <c r="V1991" s="36"/>
    </row>
    <row r="1992" spans="22:22" x14ac:dyDescent="0.35">
      <c r="V1992" s="36"/>
    </row>
    <row r="1993" spans="22:22" x14ac:dyDescent="0.35">
      <c r="V1993" s="36"/>
    </row>
    <row r="1994" spans="22:22" x14ac:dyDescent="0.35">
      <c r="V1994" s="36"/>
    </row>
    <row r="1995" spans="22:22" x14ac:dyDescent="0.35">
      <c r="V1995" s="36"/>
    </row>
    <row r="1996" spans="22:22" x14ac:dyDescent="0.35">
      <c r="V1996" s="36"/>
    </row>
    <row r="1997" spans="22:22" x14ac:dyDescent="0.35">
      <c r="V1997" s="36"/>
    </row>
    <row r="1998" spans="22:22" x14ac:dyDescent="0.35">
      <c r="V1998" s="36"/>
    </row>
    <row r="1999" spans="22:22" x14ac:dyDescent="0.35">
      <c r="V1999" s="36"/>
    </row>
    <row r="2000" spans="22:22" x14ac:dyDescent="0.35">
      <c r="V2000" s="36"/>
    </row>
    <row r="2001" spans="22:22" x14ac:dyDescent="0.35">
      <c r="V2001" s="36"/>
    </row>
    <row r="2002" spans="22:22" x14ac:dyDescent="0.35">
      <c r="V2002" s="36"/>
    </row>
    <row r="2003" spans="22:22" x14ac:dyDescent="0.35">
      <c r="V2003" s="36"/>
    </row>
    <row r="2004" spans="22:22" x14ac:dyDescent="0.35">
      <c r="V2004" s="36"/>
    </row>
    <row r="2005" spans="22:22" x14ac:dyDescent="0.35">
      <c r="V2005" s="36"/>
    </row>
    <row r="2006" spans="22:22" x14ac:dyDescent="0.35">
      <c r="V2006" s="36"/>
    </row>
    <row r="2007" spans="22:22" x14ac:dyDescent="0.35">
      <c r="V2007" s="36"/>
    </row>
    <row r="2008" spans="22:22" x14ac:dyDescent="0.35">
      <c r="V2008" s="36"/>
    </row>
    <row r="2009" spans="22:22" x14ac:dyDescent="0.35">
      <c r="V2009" s="36"/>
    </row>
    <row r="2010" spans="22:22" x14ac:dyDescent="0.35">
      <c r="V2010" s="36"/>
    </row>
    <row r="2011" spans="22:22" x14ac:dyDescent="0.35">
      <c r="V2011" s="36"/>
    </row>
    <row r="2012" spans="22:22" x14ac:dyDescent="0.35">
      <c r="V2012" s="36"/>
    </row>
    <row r="2013" spans="22:22" x14ac:dyDescent="0.35">
      <c r="V2013" s="36"/>
    </row>
    <row r="2014" spans="22:22" x14ac:dyDescent="0.35">
      <c r="V2014" s="36"/>
    </row>
    <row r="2015" spans="22:22" x14ac:dyDescent="0.35">
      <c r="V2015" s="36"/>
    </row>
    <row r="2016" spans="22:22" x14ac:dyDescent="0.35">
      <c r="V2016" s="36"/>
    </row>
    <row r="2017" spans="22:22" x14ac:dyDescent="0.35">
      <c r="V2017" s="36"/>
    </row>
    <row r="2018" spans="22:22" x14ac:dyDescent="0.35">
      <c r="V2018" s="36"/>
    </row>
    <row r="2019" spans="22:22" x14ac:dyDescent="0.35">
      <c r="V2019" s="36"/>
    </row>
    <row r="2020" spans="22:22" x14ac:dyDescent="0.35">
      <c r="V2020" s="36"/>
    </row>
    <row r="2021" spans="22:22" x14ac:dyDescent="0.35">
      <c r="V2021" s="36"/>
    </row>
    <row r="2022" spans="22:22" x14ac:dyDescent="0.35">
      <c r="V2022" s="36"/>
    </row>
    <row r="2023" spans="22:22" x14ac:dyDescent="0.35">
      <c r="V2023" s="36"/>
    </row>
    <row r="2024" spans="22:22" x14ac:dyDescent="0.35">
      <c r="V2024" s="36"/>
    </row>
    <row r="2025" spans="22:22" x14ac:dyDescent="0.35">
      <c r="V2025" s="36"/>
    </row>
    <row r="2026" spans="22:22" x14ac:dyDescent="0.35">
      <c r="V2026" s="36"/>
    </row>
    <row r="2027" spans="22:22" x14ac:dyDescent="0.35">
      <c r="V2027" s="36"/>
    </row>
    <row r="2028" spans="22:22" x14ac:dyDescent="0.35">
      <c r="V2028" s="36"/>
    </row>
    <row r="2029" spans="22:22" x14ac:dyDescent="0.35">
      <c r="V2029" s="36"/>
    </row>
    <row r="2030" spans="22:22" x14ac:dyDescent="0.35">
      <c r="V2030" s="36"/>
    </row>
    <row r="2031" spans="22:22" x14ac:dyDescent="0.35">
      <c r="V2031" s="36"/>
    </row>
    <row r="2032" spans="22:22" x14ac:dyDescent="0.35">
      <c r="V2032" s="36"/>
    </row>
    <row r="2033" spans="22:22" x14ac:dyDescent="0.35">
      <c r="V2033" s="36"/>
    </row>
    <row r="2034" spans="22:22" x14ac:dyDescent="0.35">
      <c r="V2034" s="36"/>
    </row>
    <row r="2035" spans="22:22" x14ac:dyDescent="0.35">
      <c r="V2035" s="36"/>
    </row>
    <row r="2036" spans="22:22" x14ac:dyDescent="0.35">
      <c r="V2036" s="36"/>
    </row>
    <row r="2037" spans="22:22" x14ac:dyDescent="0.35">
      <c r="V2037" s="36"/>
    </row>
    <row r="2038" spans="22:22" x14ac:dyDescent="0.35">
      <c r="V2038" s="36"/>
    </row>
    <row r="2039" spans="22:22" x14ac:dyDescent="0.35">
      <c r="V2039" s="36"/>
    </row>
    <row r="2040" spans="22:22" x14ac:dyDescent="0.35">
      <c r="V2040" s="36"/>
    </row>
    <row r="2041" spans="22:22" x14ac:dyDescent="0.35">
      <c r="V2041" s="36"/>
    </row>
    <row r="2042" spans="22:22" x14ac:dyDescent="0.35">
      <c r="V2042" s="36"/>
    </row>
    <row r="2043" spans="22:22" x14ac:dyDescent="0.35">
      <c r="V2043" s="36"/>
    </row>
    <row r="2044" spans="22:22" x14ac:dyDescent="0.35">
      <c r="V2044" s="36"/>
    </row>
    <row r="2045" spans="22:22" x14ac:dyDescent="0.35">
      <c r="V2045" s="36"/>
    </row>
    <row r="2046" spans="22:22" x14ac:dyDescent="0.35">
      <c r="V2046" s="36"/>
    </row>
    <row r="2047" spans="22:22" x14ac:dyDescent="0.35">
      <c r="V2047" s="36"/>
    </row>
    <row r="2048" spans="22:22" x14ac:dyDescent="0.35">
      <c r="V2048" s="36"/>
    </row>
    <row r="2049" spans="22:22" x14ac:dyDescent="0.35">
      <c r="V2049" s="36"/>
    </row>
    <row r="2050" spans="22:22" x14ac:dyDescent="0.35">
      <c r="V2050" s="36"/>
    </row>
    <row r="2051" spans="22:22" x14ac:dyDescent="0.35">
      <c r="V2051" s="36"/>
    </row>
    <row r="2052" spans="22:22" x14ac:dyDescent="0.35">
      <c r="V2052" s="36"/>
    </row>
    <row r="2053" spans="22:22" x14ac:dyDescent="0.35">
      <c r="V2053" s="36"/>
    </row>
    <row r="2054" spans="22:22" x14ac:dyDescent="0.35">
      <c r="V2054" s="36"/>
    </row>
    <row r="2055" spans="22:22" x14ac:dyDescent="0.35">
      <c r="V2055" s="36"/>
    </row>
    <row r="2056" spans="22:22" x14ac:dyDescent="0.35">
      <c r="V2056" s="36"/>
    </row>
    <row r="2057" spans="22:22" x14ac:dyDescent="0.35">
      <c r="V2057" s="36"/>
    </row>
    <row r="2058" spans="22:22" x14ac:dyDescent="0.35">
      <c r="V2058" s="36"/>
    </row>
    <row r="2059" spans="22:22" x14ac:dyDescent="0.35">
      <c r="V2059" s="36"/>
    </row>
    <row r="2060" spans="22:22" x14ac:dyDescent="0.35">
      <c r="V2060" s="36"/>
    </row>
    <row r="2061" spans="22:22" x14ac:dyDescent="0.35">
      <c r="V2061" s="36"/>
    </row>
    <row r="2062" spans="22:22" x14ac:dyDescent="0.35">
      <c r="V2062" s="36"/>
    </row>
    <row r="2063" spans="22:22" x14ac:dyDescent="0.35">
      <c r="V2063" s="36"/>
    </row>
    <row r="2064" spans="22:22" x14ac:dyDescent="0.35">
      <c r="V2064" s="36"/>
    </row>
    <row r="2065" spans="22:22" x14ac:dyDescent="0.35">
      <c r="V2065" s="36"/>
    </row>
    <row r="2066" spans="22:22" x14ac:dyDescent="0.35">
      <c r="V2066" s="36"/>
    </row>
    <row r="2067" spans="22:22" x14ac:dyDescent="0.35">
      <c r="V2067" s="36"/>
    </row>
    <row r="2068" spans="22:22" x14ac:dyDescent="0.35">
      <c r="V2068" s="36"/>
    </row>
    <row r="2069" spans="22:22" x14ac:dyDescent="0.35">
      <c r="V2069" s="36"/>
    </row>
    <row r="2070" spans="22:22" x14ac:dyDescent="0.35">
      <c r="V2070" s="36"/>
    </row>
    <row r="2071" spans="22:22" x14ac:dyDescent="0.35">
      <c r="V2071" s="36"/>
    </row>
    <row r="2072" spans="22:22" x14ac:dyDescent="0.35">
      <c r="V2072" s="36"/>
    </row>
    <row r="2073" spans="22:22" x14ac:dyDescent="0.35">
      <c r="V2073" s="36"/>
    </row>
    <row r="2074" spans="22:22" x14ac:dyDescent="0.35">
      <c r="V2074" s="36"/>
    </row>
    <row r="2075" spans="22:22" x14ac:dyDescent="0.35">
      <c r="V2075" s="36"/>
    </row>
    <row r="2076" spans="22:22" x14ac:dyDescent="0.35">
      <c r="V2076" s="36"/>
    </row>
    <row r="2077" spans="22:22" x14ac:dyDescent="0.35">
      <c r="V2077" s="36"/>
    </row>
    <row r="2078" spans="22:22" x14ac:dyDescent="0.35">
      <c r="V2078" s="36"/>
    </row>
    <row r="2079" spans="22:22" x14ac:dyDescent="0.35">
      <c r="V2079" s="36"/>
    </row>
    <row r="2080" spans="22:22" x14ac:dyDescent="0.35">
      <c r="V2080" s="36"/>
    </row>
    <row r="2081" spans="22:22" x14ac:dyDescent="0.35">
      <c r="V2081" s="36"/>
    </row>
    <row r="2082" spans="22:22" x14ac:dyDescent="0.35">
      <c r="V2082" s="36"/>
    </row>
    <row r="2083" spans="22:22" x14ac:dyDescent="0.35">
      <c r="V2083" s="36"/>
    </row>
    <row r="2084" spans="22:22" x14ac:dyDescent="0.35">
      <c r="V2084" s="36"/>
    </row>
    <row r="2085" spans="22:22" x14ac:dyDescent="0.35">
      <c r="V2085" s="36"/>
    </row>
    <row r="2086" spans="22:22" x14ac:dyDescent="0.35">
      <c r="V2086" s="36"/>
    </row>
    <row r="2087" spans="22:22" x14ac:dyDescent="0.35">
      <c r="V2087" s="36"/>
    </row>
    <row r="2088" spans="22:22" x14ac:dyDescent="0.35">
      <c r="V2088" s="36"/>
    </row>
    <row r="2089" spans="22:22" x14ac:dyDescent="0.35">
      <c r="V2089" s="36"/>
    </row>
    <row r="2090" spans="22:22" x14ac:dyDescent="0.35">
      <c r="V2090" s="36"/>
    </row>
    <row r="2091" spans="22:22" x14ac:dyDescent="0.35">
      <c r="V2091" s="36"/>
    </row>
    <row r="2092" spans="22:22" x14ac:dyDescent="0.35">
      <c r="V2092" s="36"/>
    </row>
    <row r="2093" spans="22:22" x14ac:dyDescent="0.35">
      <c r="V2093" s="36"/>
    </row>
    <row r="2094" spans="22:22" x14ac:dyDescent="0.35">
      <c r="V2094" s="36"/>
    </row>
    <row r="2095" spans="22:22" x14ac:dyDescent="0.35">
      <c r="V2095" s="36"/>
    </row>
    <row r="2096" spans="22:22" x14ac:dyDescent="0.35">
      <c r="V2096" s="36"/>
    </row>
    <row r="2097" spans="22:22" x14ac:dyDescent="0.35">
      <c r="V2097" s="36"/>
    </row>
    <row r="2098" spans="22:22" x14ac:dyDescent="0.35">
      <c r="V2098" s="36"/>
    </row>
    <row r="2099" spans="22:22" x14ac:dyDescent="0.35">
      <c r="V2099" s="36"/>
    </row>
    <row r="2100" spans="22:22" x14ac:dyDescent="0.35">
      <c r="V2100" s="36"/>
    </row>
    <row r="2101" spans="22:22" x14ac:dyDescent="0.35">
      <c r="V2101" s="36"/>
    </row>
    <row r="2102" spans="22:22" x14ac:dyDescent="0.35">
      <c r="V2102" s="36"/>
    </row>
    <row r="2103" spans="22:22" x14ac:dyDescent="0.35">
      <c r="V2103" s="36"/>
    </row>
    <row r="2104" spans="22:22" x14ac:dyDescent="0.35">
      <c r="V2104" s="36"/>
    </row>
    <row r="2105" spans="22:22" x14ac:dyDescent="0.35">
      <c r="V2105" s="36"/>
    </row>
    <row r="2106" spans="22:22" x14ac:dyDescent="0.35">
      <c r="V2106" s="36"/>
    </row>
    <row r="2107" spans="22:22" x14ac:dyDescent="0.35">
      <c r="V2107" s="36"/>
    </row>
    <row r="2108" spans="22:22" x14ac:dyDescent="0.35">
      <c r="V2108" s="36"/>
    </row>
    <row r="2109" spans="22:22" x14ac:dyDescent="0.35">
      <c r="V2109" s="36"/>
    </row>
    <row r="2110" spans="22:22" x14ac:dyDescent="0.35">
      <c r="V2110" s="36"/>
    </row>
    <row r="2111" spans="22:22" x14ac:dyDescent="0.35">
      <c r="V2111" s="36"/>
    </row>
    <row r="2112" spans="22:22" x14ac:dyDescent="0.35">
      <c r="V2112" s="36"/>
    </row>
    <row r="2113" spans="22:22" x14ac:dyDescent="0.35">
      <c r="V2113" s="36"/>
    </row>
    <row r="2114" spans="22:22" x14ac:dyDescent="0.35">
      <c r="V2114" s="36"/>
    </row>
    <row r="2115" spans="22:22" x14ac:dyDescent="0.35">
      <c r="V2115" s="36"/>
    </row>
    <row r="2116" spans="22:22" x14ac:dyDescent="0.35">
      <c r="V2116" s="36"/>
    </row>
    <row r="2117" spans="22:22" x14ac:dyDescent="0.35">
      <c r="V2117" s="36"/>
    </row>
    <row r="2118" spans="22:22" x14ac:dyDescent="0.35">
      <c r="V2118" s="36"/>
    </row>
    <row r="2119" spans="22:22" x14ac:dyDescent="0.35">
      <c r="V2119" s="36"/>
    </row>
    <row r="2120" spans="22:22" x14ac:dyDescent="0.35">
      <c r="V2120" s="36"/>
    </row>
    <row r="2121" spans="22:22" x14ac:dyDescent="0.35">
      <c r="V2121" s="36"/>
    </row>
    <row r="2122" spans="22:22" x14ac:dyDescent="0.35">
      <c r="V2122" s="36"/>
    </row>
    <row r="2123" spans="22:22" x14ac:dyDescent="0.35">
      <c r="V2123" s="36"/>
    </row>
    <row r="2124" spans="22:22" x14ac:dyDescent="0.35">
      <c r="V2124" s="36"/>
    </row>
    <row r="2125" spans="22:22" x14ac:dyDescent="0.35">
      <c r="V2125" s="36"/>
    </row>
    <row r="2126" spans="22:22" x14ac:dyDescent="0.35">
      <c r="V2126" s="36"/>
    </row>
    <row r="2127" spans="22:22" x14ac:dyDescent="0.35">
      <c r="V2127" s="36"/>
    </row>
    <row r="2128" spans="22:22" x14ac:dyDescent="0.35">
      <c r="V2128" s="36"/>
    </row>
    <row r="2129" spans="22:22" x14ac:dyDescent="0.35">
      <c r="V2129" s="36"/>
    </row>
    <row r="2130" spans="22:22" x14ac:dyDescent="0.35">
      <c r="V2130" s="36"/>
    </row>
    <row r="2131" spans="22:22" x14ac:dyDescent="0.35">
      <c r="V2131" s="36"/>
    </row>
    <row r="2132" spans="22:22" x14ac:dyDescent="0.35">
      <c r="V2132" s="36"/>
    </row>
    <row r="2133" spans="22:22" x14ac:dyDescent="0.35">
      <c r="V2133" s="36"/>
    </row>
    <row r="2134" spans="22:22" x14ac:dyDescent="0.35">
      <c r="V2134" s="36"/>
    </row>
    <row r="2135" spans="22:22" x14ac:dyDescent="0.35">
      <c r="V2135" s="36"/>
    </row>
    <row r="2136" spans="22:22" x14ac:dyDescent="0.35">
      <c r="V2136" s="36"/>
    </row>
    <row r="2137" spans="22:22" x14ac:dyDescent="0.35">
      <c r="V2137" s="36"/>
    </row>
    <row r="2138" spans="22:22" x14ac:dyDescent="0.35">
      <c r="V2138" s="36"/>
    </row>
    <row r="2139" spans="22:22" x14ac:dyDescent="0.35">
      <c r="V2139" s="36"/>
    </row>
    <row r="2140" spans="22:22" x14ac:dyDescent="0.35">
      <c r="V2140" s="36"/>
    </row>
    <row r="2141" spans="22:22" x14ac:dyDescent="0.35">
      <c r="V2141" s="36"/>
    </row>
    <row r="2142" spans="22:22" x14ac:dyDescent="0.35">
      <c r="V2142" s="36"/>
    </row>
    <row r="2143" spans="22:22" x14ac:dyDescent="0.35">
      <c r="V2143" s="36"/>
    </row>
    <row r="2144" spans="22:22" x14ac:dyDescent="0.35">
      <c r="V2144" s="36"/>
    </row>
    <row r="2145" spans="22:22" x14ac:dyDescent="0.35">
      <c r="V2145" s="36"/>
    </row>
    <row r="2146" spans="22:22" x14ac:dyDescent="0.35">
      <c r="V2146" s="36"/>
    </row>
    <row r="2147" spans="22:22" x14ac:dyDescent="0.35">
      <c r="V2147" s="36"/>
    </row>
    <row r="2148" spans="22:22" x14ac:dyDescent="0.35">
      <c r="V2148" s="36"/>
    </row>
    <row r="2149" spans="22:22" x14ac:dyDescent="0.35">
      <c r="V2149" s="36"/>
    </row>
    <row r="2150" spans="22:22" x14ac:dyDescent="0.35">
      <c r="V2150" s="36"/>
    </row>
    <row r="2151" spans="22:22" x14ac:dyDescent="0.35">
      <c r="V2151" s="36"/>
    </row>
    <row r="2152" spans="22:22" x14ac:dyDescent="0.35">
      <c r="V2152" s="36"/>
    </row>
    <row r="2153" spans="22:22" x14ac:dyDescent="0.35">
      <c r="V2153" s="36"/>
    </row>
    <row r="2154" spans="22:22" x14ac:dyDescent="0.35">
      <c r="V2154" s="36"/>
    </row>
    <row r="2155" spans="22:22" x14ac:dyDescent="0.35">
      <c r="V2155" s="36"/>
    </row>
    <row r="2156" spans="22:22" x14ac:dyDescent="0.35">
      <c r="V2156" s="36"/>
    </row>
    <row r="2157" spans="22:22" x14ac:dyDescent="0.35">
      <c r="V2157" s="36"/>
    </row>
    <row r="2158" spans="22:22" x14ac:dyDescent="0.35">
      <c r="V2158" s="36"/>
    </row>
    <row r="2159" spans="22:22" x14ac:dyDescent="0.35">
      <c r="V2159" s="36"/>
    </row>
    <row r="2160" spans="22:22" x14ac:dyDescent="0.35">
      <c r="V2160" s="36"/>
    </row>
    <row r="2161" spans="22:22" x14ac:dyDescent="0.35">
      <c r="V2161" s="36"/>
    </row>
    <row r="2162" spans="22:22" x14ac:dyDescent="0.35">
      <c r="V2162" s="36"/>
    </row>
    <row r="2163" spans="22:22" x14ac:dyDescent="0.35">
      <c r="V2163" s="36"/>
    </row>
    <row r="2164" spans="22:22" x14ac:dyDescent="0.35">
      <c r="V2164" s="36"/>
    </row>
    <row r="2165" spans="22:22" x14ac:dyDescent="0.35">
      <c r="V2165" s="36"/>
    </row>
    <row r="2166" spans="22:22" x14ac:dyDescent="0.35">
      <c r="V2166" s="36"/>
    </row>
    <row r="2167" spans="22:22" x14ac:dyDescent="0.35">
      <c r="V2167" s="36"/>
    </row>
    <row r="2168" spans="22:22" x14ac:dyDescent="0.35">
      <c r="V2168" s="36"/>
    </row>
    <row r="2169" spans="22:22" x14ac:dyDescent="0.35">
      <c r="V2169" s="36"/>
    </row>
    <row r="2170" spans="22:22" x14ac:dyDescent="0.35">
      <c r="V2170" s="36"/>
    </row>
    <row r="2171" spans="22:22" x14ac:dyDescent="0.35">
      <c r="V2171" s="36"/>
    </row>
    <row r="2172" spans="22:22" x14ac:dyDescent="0.35">
      <c r="V2172" s="36"/>
    </row>
    <row r="2173" spans="22:22" x14ac:dyDescent="0.35">
      <c r="V2173" s="36"/>
    </row>
    <row r="2174" spans="22:22" x14ac:dyDescent="0.35">
      <c r="V2174" s="36"/>
    </row>
    <row r="2175" spans="22:22" x14ac:dyDescent="0.35">
      <c r="V2175" s="36"/>
    </row>
    <row r="2176" spans="22:22" x14ac:dyDescent="0.35">
      <c r="V2176" s="36"/>
    </row>
    <row r="2177" spans="22:22" x14ac:dyDescent="0.35">
      <c r="V2177" s="36"/>
    </row>
    <row r="2178" spans="22:22" x14ac:dyDescent="0.35">
      <c r="V2178" s="36"/>
    </row>
    <row r="2179" spans="22:22" x14ac:dyDescent="0.35">
      <c r="V2179" s="36"/>
    </row>
    <row r="2180" spans="22:22" x14ac:dyDescent="0.35">
      <c r="V2180" s="36"/>
    </row>
    <row r="2181" spans="22:22" x14ac:dyDescent="0.35">
      <c r="V2181" s="36"/>
    </row>
    <row r="2182" spans="22:22" x14ac:dyDescent="0.35">
      <c r="V2182" s="36"/>
    </row>
    <row r="2183" spans="22:22" x14ac:dyDescent="0.35">
      <c r="V2183" s="36"/>
    </row>
    <row r="2184" spans="22:22" x14ac:dyDescent="0.35">
      <c r="V2184" s="36"/>
    </row>
    <row r="2185" spans="22:22" x14ac:dyDescent="0.35">
      <c r="V2185" s="36"/>
    </row>
    <row r="2186" spans="22:22" x14ac:dyDescent="0.35">
      <c r="V2186" s="36"/>
    </row>
    <row r="2187" spans="22:22" x14ac:dyDescent="0.35">
      <c r="V2187" s="36"/>
    </row>
    <row r="2188" spans="22:22" x14ac:dyDescent="0.35">
      <c r="V2188" s="36"/>
    </row>
    <row r="2189" spans="22:22" x14ac:dyDescent="0.35">
      <c r="V2189" s="36"/>
    </row>
    <row r="2190" spans="22:22" x14ac:dyDescent="0.35">
      <c r="V2190" s="36"/>
    </row>
    <row r="2191" spans="22:22" x14ac:dyDescent="0.35">
      <c r="V2191" s="36"/>
    </row>
    <row r="2192" spans="22:22" x14ac:dyDescent="0.35">
      <c r="V2192" s="36"/>
    </row>
    <row r="2193" spans="22:22" x14ac:dyDescent="0.35">
      <c r="V2193" s="36"/>
    </row>
    <row r="2194" spans="22:22" x14ac:dyDescent="0.35">
      <c r="V2194" s="36"/>
    </row>
    <row r="2195" spans="22:22" x14ac:dyDescent="0.35">
      <c r="V2195" s="36"/>
    </row>
    <row r="2196" spans="22:22" x14ac:dyDescent="0.35">
      <c r="V2196" s="36"/>
    </row>
    <row r="2197" spans="22:22" x14ac:dyDescent="0.35">
      <c r="V2197" s="36"/>
    </row>
    <row r="2198" spans="22:22" x14ac:dyDescent="0.35">
      <c r="V2198" s="36"/>
    </row>
    <row r="2199" spans="22:22" x14ac:dyDescent="0.35">
      <c r="V2199" s="36"/>
    </row>
    <row r="2200" spans="22:22" x14ac:dyDescent="0.35">
      <c r="V2200" s="36"/>
    </row>
    <row r="2201" spans="22:22" x14ac:dyDescent="0.35">
      <c r="V2201" s="36"/>
    </row>
    <row r="2202" spans="22:22" x14ac:dyDescent="0.35">
      <c r="V2202" s="36"/>
    </row>
    <row r="2203" spans="22:22" x14ac:dyDescent="0.35">
      <c r="V2203" s="36"/>
    </row>
    <row r="2204" spans="22:22" x14ac:dyDescent="0.35">
      <c r="V2204" s="36"/>
    </row>
    <row r="2205" spans="22:22" x14ac:dyDescent="0.35">
      <c r="V2205" s="36"/>
    </row>
    <row r="2206" spans="22:22" x14ac:dyDescent="0.35">
      <c r="V2206" s="36"/>
    </row>
    <row r="2207" spans="22:22" x14ac:dyDescent="0.35">
      <c r="V2207" s="36"/>
    </row>
    <row r="2208" spans="22:22" x14ac:dyDescent="0.35">
      <c r="V2208" s="36"/>
    </row>
    <row r="2209" spans="22:22" x14ac:dyDescent="0.35">
      <c r="V2209" s="36"/>
    </row>
    <row r="2210" spans="22:22" x14ac:dyDescent="0.35">
      <c r="V2210" s="36"/>
    </row>
    <row r="2211" spans="22:22" x14ac:dyDescent="0.35">
      <c r="V2211" s="36"/>
    </row>
    <row r="2212" spans="22:22" x14ac:dyDescent="0.35">
      <c r="V2212" s="36"/>
    </row>
    <row r="2213" spans="22:22" x14ac:dyDescent="0.35">
      <c r="V2213" s="36"/>
    </row>
    <row r="2214" spans="22:22" x14ac:dyDescent="0.35">
      <c r="V2214" s="36"/>
    </row>
    <row r="2215" spans="22:22" x14ac:dyDescent="0.35">
      <c r="V2215" s="36"/>
    </row>
    <row r="2216" spans="22:22" x14ac:dyDescent="0.35">
      <c r="V2216" s="36"/>
    </row>
    <row r="2217" spans="22:22" x14ac:dyDescent="0.35">
      <c r="V2217" s="36"/>
    </row>
    <row r="2218" spans="22:22" x14ac:dyDescent="0.35">
      <c r="V2218" s="36"/>
    </row>
    <row r="2219" spans="22:22" x14ac:dyDescent="0.35">
      <c r="V2219" s="36"/>
    </row>
    <row r="2220" spans="22:22" x14ac:dyDescent="0.35">
      <c r="V2220" s="36"/>
    </row>
    <row r="2221" spans="22:22" x14ac:dyDescent="0.35">
      <c r="V2221" s="36"/>
    </row>
    <row r="2222" spans="22:22" x14ac:dyDescent="0.35">
      <c r="V2222" s="36"/>
    </row>
    <row r="2223" spans="22:22" x14ac:dyDescent="0.35">
      <c r="V2223" s="36"/>
    </row>
    <row r="2224" spans="22:22" x14ac:dyDescent="0.35">
      <c r="V2224" s="36"/>
    </row>
    <row r="2225" spans="22:22" x14ac:dyDescent="0.35">
      <c r="V2225" s="36"/>
    </row>
    <row r="2226" spans="22:22" x14ac:dyDescent="0.35">
      <c r="V2226" s="36"/>
    </row>
    <row r="2227" spans="22:22" x14ac:dyDescent="0.35">
      <c r="V2227" s="36"/>
    </row>
    <row r="2228" spans="22:22" x14ac:dyDescent="0.35">
      <c r="V2228" s="36"/>
    </row>
    <row r="2229" spans="22:22" x14ac:dyDescent="0.35">
      <c r="V2229" s="36"/>
    </row>
    <row r="2230" spans="22:22" x14ac:dyDescent="0.35">
      <c r="V2230" s="36"/>
    </row>
    <row r="2231" spans="22:22" x14ac:dyDescent="0.35">
      <c r="V2231" s="36"/>
    </row>
    <row r="2232" spans="22:22" x14ac:dyDescent="0.35">
      <c r="V2232" s="36"/>
    </row>
    <row r="2233" spans="22:22" x14ac:dyDescent="0.35">
      <c r="V2233" s="36"/>
    </row>
    <row r="2234" spans="22:22" x14ac:dyDescent="0.35">
      <c r="V2234" s="36"/>
    </row>
    <row r="2235" spans="22:22" x14ac:dyDescent="0.35">
      <c r="V2235" s="36"/>
    </row>
    <row r="2236" spans="22:22" x14ac:dyDescent="0.35">
      <c r="V2236" s="36"/>
    </row>
    <row r="2237" spans="22:22" x14ac:dyDescent="0.35">
      <c r="V2237" s="36"/>
    </row>
    <row r="2238" spans="22:22" x14ac:dyDescent="0.35">
      <c r="V2238" s="36"/>
    </row>
    <row r="2239" spans="22:22" x14ac:dyDescent="0.35">
      <c r="V2239" s="36"/>
    </row>
    <row r="2240" spans="22:22" x14ac:dyDescent="0.35">
      <c r="V2240" s="36"/>
    </row>
    <row r="2241" spans="22:22" x14ac:dyDescent="0.35">
      <c r="V2241" s="36"/>
    </row>
    <row r="2242" spans="22:22" x14ac:dyDescent="0.35">
      <c r="V2242" s="36"/>
    </row>
    <row r="2243" spans="22:22" x14ac:dyDescent="0.35">
      <c r="V2243" s="36"/>
    </row>
    <row r="2244" spans="22:22" x14ac:dyDescent="0.35">
      <c r="V2244" s="36"/>
    </row>
    <row r="2245" spans="22:22" x14ac:dyDescent="0.35">
      <c r="V2245" s="36"/>
    </row>
    <row r="2246" spans="22:22" x14ac:dyDescent="0.35">
      <c r="V2246" s="36"/>
    </row>
    <row r="2247" spans="22:22" x14ac:dyDescent="0.35">
      <c r="V2247" s="36"/>
    </row>
    <row r="2248" spans="22:22" x14ac:dyDescent="0.35">
      <c r="V2248" s="36"/>
    </row>
    <row r="2249" spans="22:22" x14ac:dyDescent="0.35">
      <c r="V2249" s="36"/>
    </row>
    <row r="2250" spans="22:22" x14ac:dyDescent="0.35">
      <c r="V2250" s="36"/>
    </row>
    <row r="2251" spans="22:22" x14ac:dyDescent="0.35">
      <c r="V2251" s="36"/>
    </row>
    <row r="2252" spans="22:22" x14ac:dyDescent="0.35">
      <c r="V2252" s="36"/>
    </row>
    <row r="2253" spans="22:22" x14ac:dyDescent="0.35">
      <c r="V2253" s="36"/>
    </row>
    <row r="2254" spans="22:22" x14ac:dyDescent="0.35">
      <c r="V2254" s="36"/>
    </row>
    <row r="2255" spans="22:22" x14ac:dyDescent="0.35">
      <c r="V2255" s="36"/>
    </row>
    <row r="2256" spans="22:22" x14ac:dyDescent="0.35">
      <c r="V2256" s="36"/>
    </row>
    <row r="2257" spans="22:22" x14ac:dyDescent="0.35">
      <c r="V2257" s="36"/>
    </row>
    <row r="2258" spans="22:22" x14ac:dyDescent="0.35">
      <c r="V2258" s="36"/>
    </row>
    <row r="2259" spans="22:22" x14ac:dyDescent="0.35">
      <c r="V2259" s="36"/>
    </row>
    <row r="2260" spans="22:22" x14ac:dyDescent="0.35">
      <c r="V2260" s="36"/>
    </row>
    <row r="2261" spans="22:22" x14ac:dyDescent="0.35">
      <c r="V2261" s="36"/>
    </row>
    <row r="2262" spans="22:22" x14ac:dyDescent="0.35">
      <c r="V2262" s="36"/>
    </row>
    <row r="2263" spans="22:22" x14ac:dyDescent="0.35">
      <c r="V2263" s="36"/>
    </row>
    <row r="2264" spans="22:22" x14ac:dyDescent="0.35">
      <c r="V2264" s="36"/>
    </row>
    <row r="2265" spans="22:22" x14ac:dyDescent="0.35">
      <c r="V2265" s="36"/>
    </row>
    <row r="2266" spans="22:22" x14ac:dyDescent="0.35">
      <c r="V2266" s="36"/>
    </row>
    <row r="2267" spans="22:22" x14ac:dyDescent="0.35">
      <c r="V2267" s="36"/>
    </row>
    <row r="2268" spans="22:22" x14ac:dyDescent="0.35">
      <c r="V2268" s="36"/>
    </row>
    <row r="2269" spans="22:22" x14ac:dyDescent="0.35">
      <c r="V2269" s="36"/>
    </row>
    <row r="2270" spans="22:22" x14ac:dyDescent="0.35">
      <c r="V2270" s="36"/>
    </row>
    <row r="2271" spans="22:22" x14ac:dyDescent="0.35">
      <c r="V2271" s="36"/>
    </row>
    <row r="2272" spans="22:22" x14ac:dyDescent="0.35">
      <c r="V2272" s="36"/>
    </row>
    <row r="2273" spans="22:22" x14ac:dyDescent="0.35">
      <c r="V2273" s="36"/>
    </row>
    <row r="2274" spans="22:22" x14ac:dyDescent="0.35">
      <c r="V2274" s="36"/>
    </row>
    <row r="2275" spans="22:22" x14ac:dyDescent="0.35">
      <c r="V2275" s="36"/>
    </row>
    <row r="2276" spans="22:22" x14ac:dyDescent="0.35">
      <c r="V2276" s="36"/>
    </row>
    <row r="2277" spans="22:22" x14ac:dyDescent="0.35">
      <c r="V2277" s="36"/>
    </row>
    <row r="2278" spans="22:22" x14ac:dyDescent="0.35">
      <c r="V2278" s="36"/>
    </row>
    <row r="2279" spans="22:22" x14ac:dyDescent="0.35">
      <c r="V2279" s="36"/>
    </row>
    <row r="2280" spans="22:22" x14ac:dyDescent="0.35">
      <c r="V2280" s="36"/>
    </row>
    <row r="2281" spans="22:22" x14ac:dyDescent="0.35">
      <c r="V2281" s="36"/>
    </row>
    <row r="2282" spans="22:22" x14ac:dyDescent="0.35">
      <c r="V2282" s="36"/>
    </row>
    <row r="2283" spans="22:22" x14ac:dyDescent="0.35">
      <c r="V2283" s="36"/>
    </row>
    <row r="2284" spans="22:22" x14ac:dyDescent="0.35">
      <c r="V2284" s="36"/>
    </row>
    <row r="2285" spans="22:22" x14ac:dyDescent="0.35">
      <c r="V2285" s="36"/>
    </row>
    <row r="2286" spans="22:22" x14ac:dyDescent="0.35">
      <c r="V2286" s="36"/>
    </row>
    <row r="2287" spans="22:22" x14ac:dyDescent="0.35">
      <c r="V2287" s="36"/>
    </row>
    <row r="2288" spans="22:22" x14ac:dyDescent="0.35">
      <c r="V2288" s="36"/>
    </row>
    <row r="2289" spans="22:22" x14ac:dyDescent="0.35">
      <c r="V2289" s="36"/>
    </row>
    <row r="2290" spans="22:22" x14ac:dyDescent="0.35">
      <c r="V2290" s="36"/>
    </row>
    <row r="2291" spans="22:22" x14ac:dyDescent="0.35">
      <c r="V2291" s="36"/>
    </row>
    <row r="2292" spans="22:22" x14ac:dyDescent="0.35">
      <c r="V2292" s="36"/>
    </row>
    <row r="2293" spans="22:22" x14ac:dyDescent="0.35">
      <c r="V2293" s="36"/>
    </row>
    <row r="2294" spans="22:22" x14ac:dyDescent="0.35">
      <c r="V2294" s="36"/>
    </row>
    <row r="2295" spans="22:22" x14ac:dyDescent="0.35">
      <c r="V2295" s="36"/>
    </row>
    <row r="2296" spans="22:22" x14ac:dyDescent="0.35">
      <c r="V2296" s="36"/>
    </row>
    <row r="2297" spans="22:22" x14ac:dyDescent="0.35">
      <c r="V2297" s="36"/>
    </row>
    <row r="2298" spans="22:22" x14ac:dyDescent="0.35">
      <c r="V2298" s="36"/>
    </row>
    <row r="2299" spans="22:22" x14ac:dyDescent="0.35">
      <c r="V2299" s="36"/>
    </row>
    <row r="2300" spans="22:22" x14ac:dyDescent="0.35">
      <c r="V2300" s="36"/>
    </row>
    <row r="2301" spans="22:22" x14ac:dyDescent="0.35">
      <c r="V2301" s="36"/>
    </row>
    <row r="2302" spans="22:22" x14ac:dyDescent="0.35">
      <c r="V2302" s="36"/>
    </row>
    <row r="2303" spans="22:22" x14ac:dyDescent="0.35">
      <c r="V2303" s="36"/>
    </row>
    <row r="2304" spans="22:22" x14ac:dyDescent="0.35">
      <c r="V2304" s="36"/>
    </row>
    <row r="2305" spans="22:22" x14ac:dyDescent="0.35">
      <c r="V2305" s="36"/>
    </row>
    <row r="2306" spans="22:22" x14ac:dyDescent="0.35">
      <c r="V2306" s="36"/>
    </row>
    <row r="2307" spans="22:22" x14ac:dyDescent="0.35">
      <c r="V2307" s="36"/>
    </row>
    <row r="2308" spans="22:22" x14ac:dyDescent="0.35">
      <c r="V2308" s="36"/>
    </row>
    <row r="2309" spans="22:22" x14ac:dyDescent="0.35">
      <c r="V2309" s="36"/>
    </row>
    <row r="2310" spans="22:22" x14ac:dyDescent="0.35">
      <c r="V2310" s="36"/>
    </row>
    <row r="2311" spans="22:22" x14ac:dyDescent="0.35">
      <c r="V2311" s="36"/>
    </row>
    <row r="2312" spans="22:22" x14ac:dyDescent="0.35">
      <c r="V2312" s="36"/>
    </row>
    <row r="2313" spans="22:22" x14ac:dyDescent="0.35">
      <c r="V2313" s="36"/>
    </row>
    <row r="2314" spans="22:22" x14ac:dyDescent="0.35">
      <c r="V2314" s="36"/>
    </row>
    <row r="2315" spans="22:22" x14ac:dyDescent="0.35">
      <c r="V2315" s="36"/>
    </row>
    <row r="2316" spans="22:22" x14ac:dyDescent="0.35">
      <c r="V2316" s="36"/>
    </row>
    <row r="2317" spans="22:22" x14ac:dyDescent="0.35">
      <c r="V2317" s="36"/>
    </row>
    <row r="2318" spans="22:22" x14ac:dyDescent="0.35">
      <c r="V2318" s="36"/>
    </row>
    <row r="2319" spans="22:22" x14ac:dyDescent="0.35">
      <c r="V2319" s="36"/>
    </row>
    <row r="2320" spans="22:22" x14ac:dyDescent="0.35">
      <c r="V2320" s="36"/>
    </row>
    <row r="2321" spans="22:22" x14ac:dyDescent="0.35">
      <c r="V2321" s="36"/>
    </row>
    <row r="2322" spans="22:22" x14ac:dyDescent="0.35">
      <c r="V2322" s="36"/>
    </row>
    <row r="2323" spans="22:22" x14ac:dyDescent="0.35">
      <c r="V2323" s="36"/>
    </row>
    <row r="2324" spans="22:22" x14ac:dyDescent="0.35">
      <c r="V2324" s="36"/>
    </row>
    <row r="2325" spans="22:22" x14ac:dyDescent="0.35">
      <c r="V2325" s="36"/>
    </row>
    <row r="2326" spans="22:22" x14ac:dyDescent="0.35">
      <c r="V2326" s="36"/>
    </row>
    <row r="2327" spans="22:22" x14ac:dyDescent="0.35">
      <c r="V2327" s="36"/>
    </row>
    <row r="2328" spans="22:22" x14ac:dyDescent="0.35">
      <c r="V2328" s="36"/>
    </row>
    <row r="2329" spans="22:22" x14ac:dyDescent="0.35">
      <c r="V2329" s="36"/>
    </row>
    <row r="2330" spans="22:22" x14ac:dyDescent="0.35">
      <c r="V2330" s="36"/>
    </row>
    <row r="2331" spans="22:22" x14ac:dyDescent="0.35">
      <c r="V2331" s="36"/>
    </row>
    <row r="2332" spans="22:22" x14ac:dyDescent="0.35">
      <c r="V2332" s="36"/>
    </row>
    <row r="2333" spans="22:22" x14ac:dyDescent="0.35">
      <c r="V2333" s="36"/>
    </row>
    <row r="2334" spans="22:22" x14ac:dyDescent="0.35">
      <c r="V2334" s="36"/>
    </row>
    <row r="2335" spans="22:22" x14ac:dyDescent="0.35">
      <c r="V2335" s="36"/>
    </row>
    <row r="2336" spans="22:22" x14ac:dyDescent="0.35">
      <c r="V2336" s="36"/>
    </row>
    <row r="2337" spans="22:22" x14ac:dyDescent="0.35">
      <c r="V2337" s="36"/>
    </row>
    <row r="2338" spans="22:22" x14ac:dyDescent="0.35">
      <c r="V2338" s="36"/>
    </row>
    <row r="2339" spans="22:22" x14ac:dyDescent="0.35">
      <c r="V2339" s="36"/>
    </row>
    <row r="2340" spans="22:22" x14ac:dyDescent="0.35">
      <c r="V2340" s="36"/>
    </row>
    <row r="2341" spans="22:22" x14ac:dyDescent="0.35">
      <c r="V2341" s="36"/>
    </row>
    <row r="2342" spans="22:22" x14ac:dyDescent="0.35">
      <c r="V2342" s="36"/>
    </row>
    <row r="2343" spans="22:22" x14ac:dyDescent="0.35">
      <c r="V2343" s="36"/>
    </row>
    <row r="2344" spans="22:22" x14ac:dyDescent="0.35">
      <c r="V2344" s="36"/>
    </row>
    <row r="2345" spans="22:22" x14ac:dyDescent="0.35">
      <c r="V2345" s="36"/>
    </row>
    <row r="2346" spans="22:22" x14ac:dyDescent="0.35">
      <c r="V2346" s="36"/>
    </row>
    <row r="2347" spans="22:22" x14ac:dyDescent="0.35">
      <c r="V2347" s="36"/>
    </row>
    <row r="2348" spans="22:22" x14ac:dyDescent="0.35">
      <c r="V2348" s="36"/>
    </row>
    <row r="2349" spans="22:22" x14ac:dyDescent="0.35">
      <c r="V2349" s="36"/>
    </row>
    <row r="2350" spans="22:22" x14ac:dyDescent="0.35">
      <c r="V2350" s="36"/>
    </row>
    <row r="2351" spans="22:22" x14ac:dyDescent="0.35">
      <c r="V2351" s="36"/>
    </row>
    <row r="2352" spans="22:22" x14ac:dyDescent="0.35">
      <c r="V2352" s="36"/>
    </row>
    <row r="2353" spans="22:22" x14ac:dyDescent="0.35">
      <c r="V2353" s="36"/>
    </row>
    <row r="2354" spans="22:22" x14ac:dyDescent="0.35">
      <c r="V2354" s="36"/>
    </row>
    <row r="2355" spans="22:22" x14ac:dyDescent="0.35">
      <c r="V2355" s="36"/>
    </row>
    <row r="2356" spans="22:22" x14ac:dyDescent="0.35">
      <c r="V2356" s="36"/>
    </row>
    <row r="2357" spans="22:22" x14ac:dyDescent="0.35">
      <c r="V2357" s="36"/>
    </row>
    <row r="2358" spans="22:22" x14ac:dyDescent="0.35">
      <c r="V2358" s="36"/>
    </row>
    <row r="2359" spans="22:22" x14ac:dyDescent="0.35">
      <c r="V2359" s="36"/>
    </row>
    <row r="2360" spans="22:22" x14ac:dyDescent="0.35">
      <c r="V2360" s="36"/>
    </row>
    <row r="2361" spans="22:22" x14ac:dyDescent="0.35">
      <c r="V2361" s="36"/>
    </row>
    <row r="2362" spans="22:22" x14ac:dyDescent="0.35">
      <c r="V2362" s="36"/>
    </row>
    <row r="2363" spans="22:22" x14ac:dyDescent="0.35">
      <c r="V2363" s="36"/>
    </row>
    <row r="2364" spans="22:22" x14ac:dyDescent="0.35">
      <c r="V2364" s="36"/>
    </row>
    <row r="2365" spans="22:22" x14ac:dyDescent="0.35">
      <c r="V2365" s="36"/>
    </row>
    <row r="2366" spans="22:22" x14ac:dyDescent="0.35">
      <c r="V2366" s="36"/>
    </row>
    <row r="2367" spans="22:22" x14ac:dyDescent="0.35">
      <c r="V2367" s="36"/>
    </row>
    <row r="2368" spans="22:22" x14ac:dyDescent="0.35">
      <c r="V2368" s="36"/>
    </row>
    <row r="2369" spans="22:22" x14ac:dyDescent="0.35">
      <c r="V2369" s="36"/>
    </row>
    <row r="2370" spans="22:22" x14ac:dyDescent="0.35">
      <c r="V2370" s="36"/>
    </row>
    <row r="2371" spans="22:22" x14ac:dyDescent="0.35">
      <c r="V2371" s="36"/>
    </row>
    <row r="2372" spans="22:22" x14ac:dyDescent="0.35">
      <c r="V2372" s="36"/>
    </row>
    <row r="2373" spans="22:22" x14ac:dyDescent="0.35">
      <c r="V2373" s="36"/>
    </row>
    <row r="2374" spans="22:22" x14ac:dyDescent="0.35">
      <c r="V2374" s="36"/>
    </row>
    <row r="2375" spans="22:22" x14ac:dyDescent="0.35">
      <c r="V2375" s="36"/>
    </row>
    <row r="2376" spans="22:22" x14ac:dyDescent="0.35">
      <c r="V2376" s="36"/>
    </row>
    <row r="2377" spans="22:22" x14ac:dyDescent="0.35">
      <c r="V2377" s="36"/>
    </row>
    <row r="2378" spans="22:22" x14ac:dyDescent="0.35">
      <c r="V2378" s="36"/>
    </row>
    <row r="2379" spans="22:22" x14ac:dyDescent="0.35">
      <c r="V2379" s="36"/>
    </row>
    <row r="2380" spans="22:22" x14ac:dyDescent="0.35">
      <c r="V2380" s="36"/>
    </row>
    <row r="2381" spans="22:22" x14ac:dyDescent="0.35">
      <c r="V2381" s="36"/>
    </row>
    <row r="2382" spans="22:22" x14ac:dyDescent="0.35">
      <c r="V2382" s="36"/>
    </row>
    <row r="2383" spans="22:22" x14ac:dyDescent="0.35">
      <c r="V2383" s="36"/>
    </row>
    <row r="2384" spans="22:22" x14ac:dyDescent="0.35">
      <c r="V2384" s="36"/>
    </row>
    <row r="2385" spans="22:22" x14ac:dyDescent="0.35">
      <c r="V2385" s="36"/>
    </row>
    <row r="2386" spans="22:22" x14ac:dyDescent="0.35">
      <c r="V2386" s="36"/>
    </row>
    <row r="2387" spans="22:22" x14ac:dyDescent="0.35">
      <c r="V2387" s="36"/>
    </row>
    <row r="2388" spans="22:22" x14ac:dyDescent="0.35">
      <c r="V2388" s="36"/>
    </row>
    <row r="2389" spans="22:22" x14ac:dyDescent="0.35">
      <c r="V2389" s="36"/>
    </row>
    <row r="2390" spans="22:22" x14ac:dyDescent="0.35">
      <c r="V2390" s="36"/>
    </row>
    <row r="2391" spans="22:22" x14ac:dyDescent="0.35">
      <c r="V2391" s="36"/>
    </row>
    <row r="2392" spans="22:22" x14ac:dyDescent="0.35">
      <c r="V2392" s="36"/>
    </row>
    <row r="2393" spans="22:22" x14ac:dyDescent="0.35">
      <c r="V2393" s="36"/>
    </row>
    <row r="2394" spans="22:22" x14ac:dyDescent="0.35">
      <c r="V2394" s="36"/>
    </row>
    <row r="2395" spans="22:22" x14ac:dyDescent="0.35">
      <c r="V2395" s="36"/>
    </row>
    <row r="2396" spans="22:22" x14ac:dyDescent="0.35">
      <c r="V2396" s="36"/>
    </row>
    <row r="2397" spans="22:22" x14ac:dyDescent="0.35">
      <c r="V2397" s="36"/>
    </row>
    <row r="2398" spans="22:22" x14ac:dyDescent="0.35">
      <c r="V2398" s="36"/>
    </row>
    <row r="2399" spans="22:22" x14ac:dyDescent="0.35">
      <c r="V2399" s="36"/>
    </row>
    <row r="2400" spans="22:22" x14ac:dyDescent="0.35">
      <c r="V2400" s="36"/>
    </row>
    <row r="2401" spans="22:22" x14ac:dyDescent="0.35">
      <c r="V2401" s="36"/>
    </row>
    <row r="2402" spans="22:22" x14ac:dyDescent="0.35">
      <c r="V2402" s="36"/>
    </row>
    <row r="2403" spans="22:22" x14ac:dyDescent="0.35">
      <c r="V2403" s="36"/>
    </row>
    <row r="2404" spans="22:22" x14ac:dyDescent="0.35">
      <c r="V2404" s="36"/>
    </row>
    <row r="2405" spans="22:22" x14ac:dyDescent="0.35">
      <c r="V2405" s="36"/>
    </row>
    <row r="2406" spans="22:22" x14ac:dyDescent="0.35">
      <c r="V2406" s="36"/>
    </row>
    <row r="2407" spans="22:22" x14ac:dyDescent="0.35">
      <c r="V2407" s="36"/>
    </row>
    <row r="2408" spans="22:22" x14ac:dyDescent="0.35">
      <c r="V2408" s="36"/>
    </row>
    <row r="2409" spans="22:22" x14ac:dyDescent="0.35">
      <c r="V2409" s="36"/>
    </row>
    <row r="2410" spans="22:22" x14ac:dyDescent="0.35">
      <c r="V2410" s="36"/>
    </row>
    <row r="2411" spans="22:22" x14ac:dyDescent="0.35">
      <c r="V2411" s="36"/>
    </row>
    <row r="2412" spans="22:22" x14ac:dyDescent="0.35">
      <c r="V2412" s="36"/>
    </row>
    <row r="2413" spans="22:22" x14ac:dyDescent="0.35">
      <c r="V2413" s="36"/>
    </row>
    <row r="2414" spans="22:22" x14ac:dyDescent="0.35">
      <c r="V2414" s="36"/>
    </row>
    <row r="2415" spans="22:22" x14ac:dyDescent="0.35">
      <c r="V2415" s="36"/>
    </row>
    <row r="2416" spans="22:22" x14ac:dyDescent="0.35">
      <c r="V2416" s="36"/>
    </row>
    <row r="2417" spans="22:22" x14ac:dyDescent="0.35">
      <c r="V2417" s="36"/>
    </row>
    <row r="2418" spans="22:22" x14ac:dyDescent="0.35">
      <c r="V2418" s="36"/>
    </row>
    <row r="2419" spans="22:22" x14ac:dyDescent="0.35">
      <c r="V2419" s="36"/>
    </row>
    <row r="2420" spans="22:22" x14ac:dyDescent="0.35">
      <c r="V2420" s="36"/>
    </row>
    <row r="2421" spans="22:22" x14ac:dyDescent="0.35">
      <c r="V2421" s="36"/>
    </row>
    <row r="2422" spans="22:22" x14ac:dyDescent="0.35">
      <c r="V2422" s="36"/>
    </row>
    <row r="2423" spans="22:22" x14ac:dyDescent="0.35">
      <c r="V2423" s="36"/>
    </row>
    <row r="2424" spans="22:22" x14ac:dyDescent="0.35">
      <c r="V2424" s="36"/>
    </row>
    <row r="2425" spans="22:22" x14ac:dyDescent="0.35">
      <c r="V2425" s="36"/>
    </row>
    <row r="2426" spans="22:22" x14ac:dyDescent="0.35">
      <c r="V2426" s="36"/>
    </row>
    <row r="2427" spans="22:22" x14ac:dyDescent="0.35">
      <c r="V2427" s="36"/>
    </row>
    <row r="2428" spans="22:22" x14ac:dyDescent="0.35">
      <c r="V2428" s="36"/>
    </row>
    <row r="2429" spans="22:22" x14ac:dyDescent="0.35">
      <c r="V2429" s="36"/>
    </row>
    <row r="2430" spans="22:22" x14ac:dyDescent="0.35">
      <c r="V2430" s="36"/>
    </row>
    <row r="2431" spans="22:22" x14ac:dyDescent="0.35">
      <c r="V2431" s="36"/>
    </row>
    <row r="2432" spans="22:22" x14ac:dyDescent="0.35">
      <c r="V2432" s="36"/>
    </row>
    <row r="2433" spans="22:22" x14ac:dyDescent="0.35">
      <c r="V2433" s="36"/>
    </row>
    <row r="2434" spans="22:22" x14ac:dyDescent="0.35">
      <c r="V2434" s="36"/>
    </row>
    <row r="2435" spans="22:22" x14ac:dyDescent="0.35">
      <c r="V2435" s="36"/>
    </row>
    <row r="2436" spans="22:22" x14ac:dyDescent="0.35">
      <c r="V2436" s="36"/>
    </row>
    <row r="2437" spans="22:22" x14ac:dyDescent="0.35">
      <c r="V2437" s="36"/>
    </row>
    <row r="2438" spans="22:22" x14ac:dyDescent="0.35">
      <c r="V2438" s="36"/>
    </row>
    <row r="2439" spans="22:22" x14ac:dyDescent="0.35">
      <c r="V2439" s="36"/>
    </row>
    <row r="2440" spans="22:22" x14ac:dyDescent="0.35">
      <c r="V2440" s="36"/>
    </row>
    <row r="2441" spans="22:22" x14ac:dyDescent="0.35">
      <c r="V2441" s="36"/>
    </row>
    <row r="2442" spans="22:22" x14ac:dyDescent="0.35">
      <c r="V2442" s="36"/>
    </row>
    <row r="2443" spans="22:22" x14ac:dyDescent="0.35">
      <c r="V2443" s="36"/>
    </row>
    <row r="2444" spans="22:22" x14ac:dyDescent="0.35">
      <c r="V2444" s="36"/>
    </row>
    <row r="2445" spans="22:22" x14ac:dyDescent="0.35">
      <c r="V2445" s="36"/>
    </row>
    <row r="2446" spans="22:22" x14ac:dyDescent="0.35">
      <c r="V2446" s="36"/>
    </row>
    <row r="2447" spans="22:22" x14ac:dyDescent="0.35">
      <c r="V2447" s="36"/>
    </row>
    <row r="2448" spans="22:22" x14ac:dyDescent="0.35">
      <c r="V2448" s="36"/>
    </row>
    <row r="2449" spans="22:22" x14ac:dyDescent="0.35">
      <c r="V2449" s="36"/>
    </row>
    <row r="2450" spans="22:22" x14ac:dyDescent="0.35">
      <c r="V2450" s="36"/>
    </row>
    <row r="2451" spans="22:22" x14ac:dyDescent="0.35">
      <c r="V2451" s="36"/>
    </row>
    <row r="2452" spans="22:22" x14ac:dyDescent="0.35">
      <c r="V2452" s="36"/>
    </row>
    <row r="2453" spans="22:22" x14ac:dyDescent="0.35">
      <c r="V2453" s="36"/>
    </row>
    <row r="2454" spans="22:22" x14ac:dyDescent="0.35">
      <c r="V2454" s="36"/>
    </row>
    <row r="2455" spans="22:22" x14ac:dyDescent="0.35">
      <c r="V2455" s="36"/>
    </row>
    <row r="2456" spans="22:22" x14ac:dyDescent="0.35">
      <c r="V2456" s="36"/>
    </row>
    <row r="2457" spans="22:22" x14ac:dyDescent="0.35">
      <c r="V2457" s="36"/>
    </row>
    <row r="2458" spans="22:22" x14ac:dyDescent="0.35">
      <c r="V2458" s="36"/>
    </row>
    <row r="2459" spans="22:22" x14ac:dyDescent="0.35">
      <c r="V2459" s="36"/>
    </row>
    <row r="2460" spans="22:22" x14ac:dyDescent="0.35">
      <c r="V2460" s="36"/>
    </row>
    <row r="2461" spans="22:22" x14ac:dyDescent="0.35">
      <c r="V2461" s="36"/>
    </row>
    <row r="2462" spans="22:22" x14ac:dyDescent="0.35">
      <c r="V2462" s="36"/>
    </row>
    <row r="2463" spans="22:22" x14ac:dyDescent="0.35">
      <c r="V2463" s="36"/>
    </row>
    <row r="2464" spans="22:22" x14ac:dyDescent="0.35">
      <c r="V2464" s="36"/>
    </row>
    <row r="2465" spans="22:22" x14ac:dyDescent="0.35">
      <c r="V2465" s="36"/>
    </row>
    <row r="2466" spans="22:22" x14ac:dyDescent="0.35">
      <c r="V2466" s="36"/>
    </row>
    <row r="2467" spans="22:22" x14ac:dyDescent="0.35">
      <c r="V2467" s="36"/>
    </row>
    <row r="2468" spans="22:22" x14ac:dyDescent="0.35">
      <c r="V2468" s="36"/>
    </row>
    <row r="2469" spans="22:22" x14ac:dyDescent="0.35">
      <c r="V2469" s="36"/>
    </row>
    <row r="2470" spans="22:22" x14ac:dyDescent="0.35">
      <c r="V2470" s="36"/>
    </row>
    <row r="2471" spans="22:22" x14ac:dyDescent="0.35">
      <c r="V2471" s="36"/>
    </row>
    <row r="2472" spans="22:22" x14ac:dyDescent="0.35">
      <c r="V2472" s="36"/>
    </row>
    <row r="2473" spans="22:22" x14ac:dyDescent="0.35">
      <c r="V2473" s="36"/>
    </row>
    <row r="2474" spans="22:22" x14ac:dyDescent="0.35">
      <c r="V2474" s="36"/>
    </row>
    <row r="2475" spans="22:22" x14ac:dyDescent="0.35">
      <c r="V2475" s="36"/>
    </row>
    <row r="2476" spans="22:22" x14ac:dyDescent="0.35">
      <c r="V2476" s="36"/>
    </row>
    <row r="2477" spans="22:22" x14ac:dyDescent="0.35">
      <c r="V2477" s="36"/>
    </row>
    <row r="2478" spans="22:22" x14ac:dyDescent="0.35">
      <c r="V2478" s="36"/>
    </row>
    <row r="2479" spans="22:22" x14ac:dyDescent="0.35">
      <c r="V2479" s="36"/>
    </row>
    <row r="2480" spans="22:22" x14ac:dyDescent="0.35">
      <c r="V2480" s="36"/>
    </row>
    <row r="2481" spans="22:22" x14ac:dyDescent="0.35">
      <c r="V2481" s="36"/>
    </row>
    <row r="2482" spans="22:22" x14ac:dyDescent="0.35">
      <c r="V2482" s="36"/>
    </row>
    <row r="2483" spans="22:22" x14ac:dyDescent="0.35">
      <c r="V2483" s="36"/>
    </row>
    <row r="2484" spans="22:22" x14ac:dyDescent="0.35">
      <c r="V2484" s="36"/>
    </row>
    <row r="2485" spans="22:22" x14ac:dyDescent="0.35">
      <c r="V2485" s="36"/>
    </row>
    <row r="2486" spans="22:22" x14ac:dyDescent="0.35">
      <c r="V2486" s="36"/>
    </row>
    <row r="2487" spans="22:22" x14ac:dyDescent="0.35">
      <c r="V2487" s="36"/>
    </row>
    <row r="2488" spans="22:22" x14ac:dyDescent="0.35">
      <c r="V2488" s="36"/>
    </row>
    <row r="2489" spans="22:22" x14ac:dyDescent="0.35">
      <c r="V2489" s="36"/>
    </row>
    <row r="2490" spans="22:22" x14ac:dyDescent="0.35">
      <c r="V2490" s="36"/>
    </row>
    <row r="2491" spans="22:22" x14ac:dyDescent="0.35">
      <c r="V2491" s="36"/>
    </row>
    <row r="2492" spans="22:22" x14ac:dyDescent="0.35">
      <c r="V2492" s="36"/>
    </row>
    <row r="2493" spans="22:22" x14ac:dyDescent="0.35">
      <c r="V2493" s="36"/>
    </row>
    <row r="2494" spans="22:22" x14ac:dyDescent="0.35">
      <c r="V2494" s="36"/>
    </row>
    <row r="2495" spans="22:22" x14ac:dyDescent="0.35">
      <c r="V2495" s="36"/>
    </row>
    <row r="2496" spans="22:22" x14ac:dyDescent="0.35">
      <c r="V2496" s="36"/>
    </row>
    <row r="2497" spans="22:22" x14ac:dyDescent="0.35">
      <c r="V2497" s="36"/>
    </row>
    <row r="2498" spans="22:22" x14ac:dyDescent="0.35">
      <c r="V2498" s="36"/>
    </row>
    <row r="2499" spans="22:22" x14ac:dyDescent="0.35">
      <c r="V2499" s="36"/>
    </row>
    <row r="2500" spans="22:22" x14ac:dyDescent="0.35">
      <c r="V2500" s="36"/>
    </row>
    <row r="2501" spans="22:22" x14ac:dyDescent="0.35">
      <c r="V2501" s="36"/>
    </row>
    <row r="2502" spans="22:22" x14ac:dyDescent="0.35">
      <c r="V2502" s="36"/>
    </row>
    <row r="2503" spans="22:22" x14ac:dyDescent="0.35">
      <c r="V2503" s="36"/>
    </row>
    <row r="2504" spans="22:22" x14ac:dyDescent="0.35">
      <c r="V2504" s="36"/>
    </row>
    <row r="2505" spans="22:22" x14ac:dyDescent="0.35">
      <c r="V2505" s="36"/>
    </row>
    <row r="2506" spans="22:22" x14ac:dyDescent="0.35">
      <c r="V2506" s="36"/>
    </row>
    <row r="2507" spans="22:22" x14ac:dyDescent="0.35">
      <c r="V2507" s="36"/>
    </row>
    <row r="2508" spans="22:22" x14ac:dyDescent="0.35">
      <c r="V2508" s="36"/>
    </row>
    <row r="2509" spans="22:22" x14ac:dyDescent="0.35">
      <c r="V2509" s="36"/>
    </row>
    <row r="2510" spans="22:22" x14ac:dyDescent="0.35">
      <c r="V2510" s="36"/>
    </row>
    <row r="2511" spans="22:22" x14ac:dyDescent="0.35">
      <c r="V2511" s="36"/>
    </row>
    <row r="2512" spans="22:22" x14ac:dyDescent="0.35">
      <c r="V2512" s="36"/>
    </row>
    <row r="2513" spans="22:22" x14ac:dyDescent="0.35">
      <c r="V2513" s="36"/>
    </row>
    <row r="2514" spans="22:22" x14ac:dyDescent="0.35">
      <c r="V2514" s="36"/>
    </row>
    <row r="2515" spans="22:22" x14ac:dyDescent="0.35">
      <c r="V2515" s="36"/>
    </row>
    <row r="2516" spans="22:22" x14ac:dyDescent="0.35">
      <c r="V2516" s="36"/>
    </row>
    <row r="2517" spans="22:22" x14ac:dyDescent="0.35">
      <c r="V2517" s="36"/>
    </row>
    <row r="2518" spans="22:22" x14ac:dyDescent="0.35">
      <c r="V2518" s="36"/>
    </row>
    <row r="2519" spans="22:22" x14ac:dyDescent="0.35">
      <c r="V2519" s="36"/>
    </row>
    <row r="2520" spans="22:22" x14ac:dyDescent="0.35">
      <c r="V2520" s="36"/>
    </row>
    <row r="2521" spans="22:22" x14ac:dyDescent="0.35">
      <c r="V2521" s="36"/>
    </row>
    <row r="2522" spans="22:22" x14ac:dyDescent="0.35">
      <c r="V2522" s="36"/>
    </row>
    <row r="2523" spans="22:22" x14ac:dyDescent="0.35">
      <c r="V2523" s="36"/>
    </row>
    <row r="2524" spans="22:22" x14ac:dyDescent="0.35">
      <c r="V2524" s="36"/>
    </row>
    <row r="2525" spans="22:22" x14ac:dyDescent="0.35">
      <c r="V2525" s="36"/>
    </row>
    <row r="2526" spans="22:22" x14ac:dyDescent="0.35">
      <c r="V2526" s="36"/>
    </row>
    <row r="2527" spans="22:22" x14ac:dyDescent="0.35">
      <c r="V2527" s="36"/>
    </row>
    <row r="2528" spans="22:22" x14ac:dyDescent="0.35">
      <c r="V2528" s="36"/>
    </row>
    <row r="2529" spans="22:22" x14ac:dyDescent="0.35">
      <c r="V2529" s="36"/>
    </row>
    <row r="2530" spans="22:22" x14ac:dyDescent="0.35">
      <c r="V2530" s="36"/>
    </row>
    <row r="2531" spans="22:22" x14ac:dyDescent="0.35">
      <c r="V2531" s="36"/>
    </row>
    <row r="2532" spans="22:22" x14ac:dyDescent="0.35">
      <c r="V2532" s="36"/>
    </row>
    <row r="2533" spans="22:22" x14ac:dyDescent="0.35">
      <c r="V2533" s="36"/>
    </row>
    <row r="2534" spans="22:22" x14ac:dyDescent="0.35">
      <c r="V2534" s="36"/>
    </row>
    <row r="2535" spans="22:22" x14ac:dyDescent="0.35">
      <c r="V2535" s="36"/>
    </row>
    <row r="2536" spans="22:22" x14ac:dyDescent="0.35">
      <c r="V2536" s="36"/>
    </row>
    <row r="2537" spans="22:22" x14ac:dyDescent="0.35">
      <c r="V2537" s="36"/>
    </row>
    <row r="2538" spans="22:22" x14ac:dyDescent="0.35">
      <c r="V2538" s="36"/>
    </row>
    <row r="2539" spans="22:22" x14ac:dyDescent="0.35">
      <c r="V2539" s="36"/>
    </row>
    <row r="2540" spans="22:22" x14ac:dyDescent="0.35">
      <c r="V2540" s="36"/>
    </row>
    <row r="2541" spans="22:22" x14ac:dyDescent="0.35">
      <c r="V2541" s="36"/>
    </row>
    <row r="2542" spans="22:22" x14ac:dyDescent="0.35">
      <c r="V2542" s="36"/>
    </row>
    <row r="2543" spans="22:22" x14ac:dyDescent="0.35">
      <c r="V2543" s="36"/>
    </row>
    <row r="2544" spans="22:22" x14ac:dyDescent="0.35">
      <c r="V2544" s="36"/>
    </row>
    <row r="2545" spans="22:22" x14ac:dyDescent="0.35">
      <c r="V2545" s="36"/>
    </row>
    <row r="2546" spans="22:22" x14ac:dyDescent="0.35">
      <c r="V2546" s="36"/>
    </row>
    <row r="2547" spans="22:22" x14ac:dyDescent="0.35">
      <c r="V2547" s="36"/>
    </row>
    <row r="2548" spans="22:22" x14ac:dyDescent="0.35">
      <c r="V2548" s="36"/>
    </row>
    <row r="2549" spans="22:22" x14ac:dyDescent="0.35">
      <c r="V2549" s="36"/>
    </row>
    <row r="2550" spans="22:22" x14ac:dyDescent="0.35">
      <c r="V2550" s="36"/>
    </row>
    <row r="2551" spans="22:22" x14ac:dyDescent="0.35">
      <c r="V2551" s="36"/>
    </row>
    <row r="2552" spans="22:22" x14ac:dyDescent="0.35">
      <c r="V2552" s="36"/>
    </row>
    <row r="2553" spans="22:22" x14ac:dyDescent="0.35">
      <c r="V2553" s="36"/>
    </row>
    <row r="2554" spans="22:22" x14ac:dyDescent="0.35">
      <c r="V2554" s="36"/>
    </row>
    <row r="2555" spans="22:22" x14ac:dyDescent="0.35">
      <c r="V2555" s="36"/>
    </row>
    <row r="2556" spans="22:22" x14ac:dyDescent="0.35">
      <c r="V2556" s="36"/>
    </row>
    <row r="2557" spans="22:22" x14ac:dyDescent="0.35">
      <c r="V2557" s="36"/>
    </row>
    <row r="2558" spans="22:22" x14ac:dyDescent="0.35">
      <c r="V2558" s="36"/>
    </row>
    <row r="2559" spans="22:22" x14ac:dyDescent="0.35">
      <c r="V2559" s="36"/>
    </row>
    <row r="2560" spans="22:22" x14ac:dyDescent="0.35">
      <c r="V2560" s="36"/>
    </row>
    <row r="2561" spans="22:22" x14ac:dyDescent="0.35">
      <c r="V2561" s="36"/>
    </row>
    <row r="2562" spans="22:22" x14ac:dyDescent="0.35">
      <c r="V2562" s="36"/>
    </row>
    <row r="2563" spans="22:22" x14ac:dyDescent="0.35">
      <c r="V2563" s="36"/>
    </row>
    <row r="2564" spans="22:22" x14ac:dyDescent="0.35">
      <c r="V2564" s="36"/>
    </row>
    <row r="2565" spans="22:22" x14ac:dyDescent="0.35">
      <c r="V2565" s="36"/>
    </row>
    <row r="2566" spans="22:22" x14ac:dyDescent="0.35">
      <c r="V2566" s="36"/>
    </row>
    <row r="2567" spans="22:22" x14ac:dyDescent="0.35">
      <c r="V2567" s="36"/>
    </row>
    <row r="2568" spans="22:22" x14ac:dyDescent="0.35">
      <c r="V2568" s="36"/>
    </row>
    <row r="2569" spans="22:22" x14ac:dyDescent="0.35">
      <c r="V2569" s="36"/>
    </row>
    <row r="2570" spans="22:22" x14ac:dyDescent="0.35">
      <c r="V2570" s="36"/>
    </row>
    <row r="2571" spans="22:22" x14ac:dyDescent="0.35">
      <c r="V2571" s="36"/>
    </row>
    <row r="2572" spans="22:22" x14ac:dyDescent="0.35">
      <c r="V2572" s="36"/>
    </row>
    <row r="2573" spans="22:22" x14ac:dyDescent="0.35">
      <c r="V2573" s="36"/>
    </row>
    <row r="2574" spans="22:22" x14ac:dyDescent="0.35">
      <c r="V2574" s="36"/>
    </row>
    <row r="2575" spans="22:22" x14ac:dyDescent="0.35">
      <c r="V2575" s="36"/>
    </row>
    <row r="2576" spans="22:22" x14ac:dyDescent="0.35">
      <c r="V2576" s="36"/>
    </row>
    <row r="2577" spans="22:22" x14ac:dyDescent="0.35">
      <c r="V2577" s="36"/>
    </row>
    <row r="2578" spans="22:22" x14ac:dyDescent="0.35">
      <c r="V2578" s="36"/>
    </row>
    <row r="2579" spans="22:22" x14ac:dyDescent="0.35">
      <c r="V2579" s="36"/>
    </row>
    <row r="2580" spans="22:22" x14ac:dyDescent="0.35">
      <c r="V2580" s="36"/>
    </row>
    <row r="2581" spans="22:22" x14ac:dyDescent="0.35">
      <c r="V2581" s="36"/>
    </row>
    <row r="2582" spans="22:22" x14ac:dyDescent="0.35">
      <c r="V2582" s="36"/>
    </row>
    <row r="2583" spans="22:22" x14ac:dyDescent="0.35">
      <c r="V2583" s="36"/>
    </row>
    <row r="2584" spans="22:22" x14ac:dyDescent="0.35">
      <c r="V2584" s="36"/>
    </row>
    <row r="2585" spans="22:22" x14ac:dyDescent="0.35">
      <c r="V2585" s="36"/>
    </row>
    <row r="2586" spans="22:22" x14ac:dyDescent="0.35">
      <c r="V2586" s="36"/>
    </row>
    <row r="2587" spans="22:22" x14ac:dyDescent="0.35">
      <c r="V2587" s="36"/>
    </row>
    <row r="2588" spans="22:22" x14ac:dyDescent="0.35">
      <c r="V2588" s="36"/>
    </row>
    <row r="2589" spans="22:22" x14ac:dyDescent="0.35">
      <c r="V2589" s="36"/>
    </row>
    <row r="2590" spans="22:22" x14ac:dyDescent="0.35">
      <c r="V2590" s="36"/>
    </row>
    <row r="2591" spans="22:22" x14ac:dyDescent="0.35">
      <c r="V2591" s="36"/>
    </row>
    <row r="2592" spans="22:22" x14ac:dyDescent="0.35">
      <c r="V2592" s="36"/>
    </row>
    <row r="2593" spans="22:22" x14ac:dyDescent="0.35">
      <c r="V2593" s="36"/>
    </row>
    <row r="2594" spans="22:22" x14ac:dyDescent="0.35">
      <c r="V2594" s="36"/>
    </row>
    <row r="2595" spans="22:22" x14ac:dyDescent="0.35">
      <c r="V2595" s="36"/>
    </row>
    <row r="2596" spans="22:22" x14ac:dyDescent="0.35">
      <c r="V2596" s="36"/>
    </row>
    <row r="2597" spans="22:22" x14ac:dyDescent="0.35">
      <c r="V2597" s="36"/>
    </row>
    <row r="2598" spans="22:22" x14ac:dyDescent="0.35">
      <c r="V2598" s="36"/>
    </row>
    <row r="2599" spans="22:22" x14ac:dyDescent="0.35">
      <c r="V2599" s="36"/>
    </row>
    <row r="2600" spans="22:22" x14ac:dyDescent="0.35">
      <c r="V2600" s="36"/>
    </row>
    <row r="2601" spans="22:22" x14ac:dyDescent="0.35">
      <c r="V2601" s="36"/>
    </row>
    <row r="2602" spans="22:22" x14ac:dyDescent="0.35">
      <c r="V2602" s="36"/>
    </row>
    <row r="2603" spans="22:22" x14ac:dyDescent="0.35">
      <c r="V2603" s="36"/>
    </row>
    <row r="2604" spans="22:22" x14ac:dyDescent="0.35">
      <c r="V2604" s="36"/>
    </row>
    <row r="2605" spans="22:22" x14ac:dyDescent="0.35">
      <c r="V2605" s="36"/>
    </row>
    <row r="2606" spans="22:22" x14ac:dyDescent="0.35">
      <c r="V2606" s="36"/>
    </row>
    <row r="2607" spans="22:22" x14ac:dyDescent="0.35">
      <c r="V2607" s="36"/>
    </row>
    <row r="2608" spans="22:22" x14ac:dyDescent="0.35">
      <c r="V2608" s="36"/>
    </row>
    <row r="2609" spans="22:22" x14ac:dyDescent="0.35">
      <c r="V2609" s="36"/>
    </row>
    <row r="2610" spans="22:22" x14ac:dyDescent="0.35">
      <c r="V2610" s="36"/>
    </row>
    <row r="2611" spans="22:22" x14ac:dyDescent="0.35">
      <c r="V2611" s="36"/>
    </row>
    <row r="2612" spans="22:22" x14ac:dyDescent="0.35">
      <c r="V2612" s="36"/>
    </row>
    <row r="2613" spans="22:22" x14ac:dyDescent="0.35">
      <c r="V2613" s="36"/>
    </row>
    <row r="2614" spans="22:22" x14ac:dyDescent="0.35">
      <c r="V2614" s="36"/>
    </row>
    <row r="2615" spans="22:22" x14ac:dyDescent="0.35">
      <c r="V2615" s="36"/>
    </row>
    <row r="2616" spans="22:22" x14ac:dyDescent="0.35">
      <c r="V2616" s="36"/>
    </row>
    <row r="2617" spans="22:22" x14ac:dyDescent="0.35">
      <c r="V2617" s="36"/>
    </row>
    <row r="2618" spans="22:22" x14ac:dyDescent="0.35">
      <c r="V2618" s="36"/>
    </row>
    <row r="2619" spans="22:22" x14ac:dyDescent="0.35">
      <c r="V2619" s="36"/>
    </row>
    <row r="2620" spans="22:22" x14ac:dyDescent="0.35">
      <c r="V2620" s="36"/>
    </row>
    <row r="2621" spans="22:22" x14ac:dyDescent="0.35">
      <c r="V2621" s="36"/>
    </row>
    <row r="2622" spans="22:22" x14ac:dyDescent="0.35">
      <c r="V2622" s="36"/>
    </row>
    <row r="2623" spans="22:22" x14ac:dyDescent="0.35">
      <c r="V2623" s="36"/>
    </row>
    <row r="2624" spans="22:22" x14ac:dyDescent="0.35">
      <c r="V2624" s="36"/>
    </row>
    <row r="2625" spans="22:22" x14ac:dyDescent="0.35">
      <c r="V2625" s="36"/>
    </row>
    <row r="2626" spans="22:22" x14ac:dyDescent="0.35">
      <c r="V2626" s="36"/>
    </row>
    <row r="2627" spans="22:22" x14ac:dyDescent="0.35">
      <c r="V2627" s="36"/>
    </row>
    <row r="2628" spans="22:22" x14ac:dyDescent="0.35">
      <c r="V2628" s="36"/>
    </row>
    <row r="2629" spans="22:22" x14ac:dyDescent="0.35">
      <c r="V2629" s="36"/>
    </row>
    <row r="2630" spans="22:22" x14ac:dyDescent="0.35">
      <c r="V2630" s="36"/>
    </row>
    <row r="2631" spans="22:22" x14ac:dyDescent="0.35">
      <c r="V2631" s="36"/>
    </row>
    <row r="2632" spans="22:22" x14ac:dyDescent="0.35">
      <c r="V2632" s="36"/>
    </row>
    <row r="2633" spans="22:22" x14ac:dyDescent="0.35">
      <c r="V2633" s="36"/>
    </row>
    <row r="2634" spans="22:22" x14ac:dyDescent="0.35">
      <c r="V2634" s="36"/>
    </row>
    <row r="2635" spans="22:22" x14ac:dyDescent="0.35">
      <c r="V2635" s="36"/>
    </row>
    <row r="2636" spans="22:22" x14ac:dyDescent="0.35">
      <c r="V2636" s="36"/>
    </row>
    <row r="2637" spans="22:22" x14ac:dyDescent="0.35">
      <c r="V2637" s="36"/>
    </row>
    <row r="2638" spans="22:22" x14ac:dyDescent="0.35">
      <c r="V2638" s="36"/>
    </row>
    <row r="2639" spans="22:22" x14ac:dyDescent="0.35">
      <c r="V2639" s="36"/>
    </row>
    <row r="2640" spans="22:22" x14ac:dyDescent="0.35">
      <c r="V2640" s="36"/>
    </row>
    <row r="2641" spans="22:22" x14ac:dyDescent="0.35">
      <c r="V2641" s="36"/>
    </row>
    <row r="2642" spans="22:22" x14ac:dyDescent="0.35">
      <c r="V2642" s="36"/>
    </row>
    <row r="2643" spans="22:22" x14ac:dyDescent="0.35">
      <c r="V2643" s="36"/>
    </row>
    <row r="2644" spans="22:22" x14ac:dyDescent="0.35">
      <c r="V2644" s="36"/>
    </row>
    <row r="2645" spans="22:22" x14ac:dyDescent="0.35">
      <c r="V2645" s="36"/>
    </row>
    <row r="2646" spans="22:22" x14ac:dyDescent="0.35">
      <c r="V2646" s="36"/>
    </row>
    <row r="2647" spans="22:22" x14ac:dyDescent="0.35">
      <c r="V2647" s="36"/>
    </row>
    <row r="2648" spans="22:22" x14ac:dyDescent="0.35">
      <c r="V2648" s="36"/>
    </row>
    <row r="2649" spans="22:22" x14ac:dyDescent="0.35">
      <c r="V2649" s="36"/>
    </row>
    <row r="2650" spans="22:22" x14ac:dyDescent="0.35">
      <c r="V2650" s="36"/>
    </row>
    <row r="2651" spans="22:22" x14ac:dyDescent="0.35">
      <c r="V2651" s="36"/>
    </row>
    <row r="2652" spans="22:22" x14ac:dyDescent="0.35">
      <c r="V2652" s="36"/>
    </row>
    <row r="2653" spans="22:22" x14ac:dyDescent="0.35">
      <c r="V2653" s="36"/>
    </row>
    <row r="2654" spans="22:22" x14ac:dyDescent="0.35">
      <c r="V2654" s="36"/>
    </row>
    <row r="2655" spans="22:22" x14ac:dyDescent="0.35">
      <c r="V2655" s="36"/>
    </row>
    <row r="2656" spans="22:22" x14ac:dyDescent="0.35">
      <c r="V2656" s="36"/>
    </row>
    <row r="2657" spans="22:22" x14ac:dyDescent="0.35">
      <c r="V2657" s="36"/>
    </row>
    <row r="2658" spans="22:22" x14ac:dyDescent="0.35">
      <c r="V2658" s="36"/>
    </row>
    <row r="2659" spans="22:22" x14ac:dyDescent="0.35">
      <c r="V2659" s="36"/>
    </row>
    <row r="2660" spans="22:22" x14ac:dyDescent="0.35">
      <c r="V2660" s="36"/>
    </row>
    <row r="2661" spans="22:22" x14ac:dyDescent="0.35">
      <c r="V2661" s="36"/>
    </row>
    <row r="2662" spans="22:22" x14ac:dyDescent="0.35">
      <c r="V2662" s="36"/>
    </row>
    <row r="2663" spans="22:22" x14ac:dyDescent="0.35">
      <c r="V2663" s="36"/>
    </row>
    <row r="2664" spans="22:22" x14ac:dyDescent="0.35">
      <c r="V2664" s="36"/>
    </row>
    <row r="2665" spans="22:22" x14ac:dyDescent="0.35">
      <c r="V2665" s="36"/>
    </row>
    <row r="2666" spans="22:22" x14ac:dyDescent="0.35">
      <c r="V2666" s="36"/>
    </row>
    <row r="2667" spans="22:22" x14ac:dyDescent="0.35">
      <c r="V2667" s="36"/>
    </row>
    <row r="2668" spans="22:22" x14ac:dyDescent="0.35">
      <c r="V2668" s="36"/>
    </row>
    <row r="2669" spans="22:22" x14ac:dyDescent="0.35">
      <c r="V2669" s="36"/>
    </row>
    <row r="2670" spans="22:22" x14ac:dyDescent="0.35">
      <c r="V2670" s="36"/>
    </row>
    <row r="2671" spans="22:22" x14ac:dyDescent="0.35">
      <c r="V2671" s="36"/>
    </row>
    <row r="2672" spans="22:22" x14ac:dyDescent="0.35">
      <c r="V2672" s="36"/>
    </row>
    <row r="2673" spans="22:22" x14ac:dyDescent="0.35">
      <c r="V2673" s="36"/>
    </row>
    <row r="2674" spans="22:22" x14ac:dyDescent="0.35">
      <c r="V2674" s="36"/>
    </row>
    <row r="2675" spans="22:22" x14ac:dyDescent="0.35">
      <c r="V2675" s="36"/>
    </row>
    <row r="2676" spans="22:22" x14ac:dyDescent="0.35">
      <c r="V2676" s="36"/>
    </row>
    <row r="2677" spans="22:22" x14ac:dyDescent="0.35">
      <c r="V2677" s="36"/>
    </row>
    <row r="2678" spans="22:22" x14ac:dyDescent="0.35">
      <c r="V2678" s="36"/>
    </row>
    <row r="2679" spans="22:22" x14ac:dyDescent="0.35">
      <c r="V2679" s="36"/>
    </row>
    <row r="2680" spans="22:22" x14ac:dyDescent="0.35">
      <c r="V2680" s="36"/>
    </row>
    <row r="2681" spans="22:22" x14ac:dyDescent="0.35">
      <c r="V2681" s="36"/>
    </row>
    <row r="2682" spans="22:22" x14ac:dyDescent="0.35">
      <c r="V2682" s="36"/>
    </row>
    <row r="2683" spans="22:22" x14ac:dyDescent="0.35">
      <c r="V2683" s="36"/>
    </row>
    <row r="2684" spans="22:22" x14ac:dyDescent="0.35">
      <c r="V2684" s="36"/>
    </row>
    <row r="2685" spans="22:22" x14ac:dyDescent="0.35">
      <c r="V2685" s="36"/>
    </row>
    <row r="2686" spans="22:22" x14ac:dyDescent="0.35">
      <c r="V2686" s="36"/>
    </row>
    <row r="2687" spans="22:22" x14ac:dyDescent="0.35">
      <c r="V2687" s="36"/>
    </row>
    <row r="2688" spans="22:22" x14ac:dyDescent="0.35">
      <c r="V2688" s="36"/>
    </row>
    <row r="2689" spans="22:22" x14ac:dyDescent="0.35">
      <c r="V2689" s="36"/>
    </row>
    <row r="2690" spans="22:22" x14ac:dyDescent="0.35">
      <c r="V2690" s="36"/>
    </row>
    <row r="2691" spans="22:22" x14ac:dyDescent="0.35">
      <c r="V2691" s="36"/>
    </row>
    <row r="2692" spans="22:22" x14ac:dyDescent="0.35">
      <c r="V2692" s="36"/>
    </row>
    <row r="2693" spans="22:22" x14ac:dyDescent="0.35">
      <c r="V2693" s="36"/>
    </row>
    <row r="2694" spans="22:22" x14ac:dyDescent="0.35">
      <c r="V2694" s="36"/>
    </row>
    <row r="2695" spans="22:22" x14ac:dyDescent="0.35">
      <c r="V2695" s="36"/>
    </row>
    <row r="2696" spans="22:22" x14ac:dyDescent="0.35">
      <c r="V2696" s="36"/>
    </row>
    <row r="2697" spans="22:22" x14ac:dyDescent="0.35">
      <c r="V2697" s="36"/>
    </row>
    <row r="2698" spans="22:22" x14ac:dyDescent="0.35">
      <c r="V2698" s="36"/>
    </row>
    <row r="2699" spans="22:22" x14ac:dyDescent="0.35">
      <c r="V2699" s="36"/>
    </row>
    <row r="2700" spans="22:22" x14ac:dyDescent="0.35">
      <c r="V2700" s="36"/>
    </row>
    <row r="2701" spans="22:22" x14ac:dyDescent="0.35">
      <c r="V2701" s="36"/>
    </row>
    <row r="2702" spans="22:22" x14ac:dyDescent="0.35">
      <c r="V2702" s="36"/>
    </row>
    <row r="2703" spans="22:22" x14ac:dyDescent="0.35">
      <c r="V2703" s="36"/>
    </row>
    <row r="2704" spans="22:22" x14ac:dyDescent="0.35">
      <c r="V2704" s="36"/>
    </row>
    <row r="2705" spans="22:22" x14ac:dyDescent="0.35">
      <c r="V2705" s="36"/>
    </row>
    <row r="2706" spans="22:22" x14ac:dyDescent="0.35">
      <c r="V2706" s="36"/>
    </row>
    <row r="2707" spans="22:22" x14ac:dyDescent="0.35">
      <c r="V2707" s="36"/>
    </row>
    <row r="2708" spans="22:22" x14ac:dyDescent="0.35">
      <c r="V2708" s="36"/>
    </row>
    <row r="2709" spans="22:22" x14ac:dyDescent="0.35">
      <c r="V2709" s="36"/>
    </row>
    <row r="2710" spans="22:22" x14ac:dyDescent="0.35">
      <c r="V2710" s="36"/>
    </row>
    <row r="2711" spans="22:22" x14ac:dyDescent="0.35">
      <c r="V2711" s="36"/>
    </row>
    <row r="2712" spans="22:22" x14ac:dyDescent="0.35">
      <c r="V2712" s="36"/>
    </row>
    <row r="2713" spans="22:22" x14ac:dyDescent="0.35">
      <c r="V2713" s="36"/>
    </row>
    <row r="2714" spans="22:22" x14ac:dyDescent="0.35">
      <c r="V2714" s="36"/>
    </row>
    <row r="2715" spans="22:22" x14ac:dyDescent="0.35">
      <c r="V2715" s="36"/>
    </row>
    <row r="2716" spans="22:22" x14ac:dyDescent="0.35">
      <c r="V2716" s="36"/>
    </row>
    <row r="2717" spans="22:22" x14ac:dyDescent="0.35">
      <c r="V2717" s="36"/>
    </row>
    <row r="2718" spans="22:22" x14ac:dyDescent="0.35">
      <c r="V2718" s="36"/>
    </row>
    <row r="2719" spans="22:22" x14ac:dyDescent="0.35">
      <c r="V2719" s="36"/>
    </row>
    <row r="2720" spans="22:22" x14ac:dyDescent="0.35">
      <c r="V2720" s="36"/>
    </row>
    <row r="2721" spans="22:22" x14ac:dyDescent="0.35">
      <c r="V2721" s="36"/>
    </row>
    <row r="2722" spans="22:22" x14ac:dyDescent="0.35">
      <c r="V2722" s="36"/>
    </row>
    <row r="2723" spans="22:22" x14ac:dyDescent="0.35">
      <c r="V2723" s="36"/>
    </row>
    <row r="2724" spans="22:22" x14ac:dyDescent="0.35">
      <c r="V2724" s="36"/>
    </row>
    <row r="2725" spans="22:22" x14ac:dyDescent="0.35">
      <c r="V2725" s="36"/>
    </row>
    <row r="2726" spans="22:22" x14ac:dyDescent="0.35">
      <c r="V2726" s="36"/>
    </row>
    <row r="2727" spans="22:22" x14ac:dyDescent="0.35">
      <c r="V2727" s="36"/>
    </row>
    <row r="2728" spans="22:22" x14ac:dyDescent="0.35">
      <c r="V2728" s="36"/>
    </row>
    <row r="2729" spans="22:22" x14ac:dyDescent="0.35">
      <c r="V2729" s="36"/>
    </row>
    <row r="2730" spans="22:22" x14ac:dyDescent="0.35">
      <c r="V2730" s="36"/>
    </row>
    <row r="2731" spans="22:22" x14ac:dyDescent="0.35">
      <c r="V2731" s="36"/>
    </row>
    <row r="2732" spans="22:22" x14ac:dyDescent="0.35">
      <c r="V2732" s="36"/>
    </row>
    <row r="2733" spans="22:22" x14ac:dyDescent="0.35">
      <c r="V2733" s="36"/>
    </row>
    <row r="2734" spans="22:22" x14ac:dyDescent="0.35">
      <c r="V2734" s="36"/>
    </row>
    <row r="2735" spans="22:22" x14ac:dyDescent="0.35">
      <c r="V2735" s="36"/>
    </row>
    <row r="2736" spans="22:22" x14ac:dyDescent="0.35">
      <c r="V2736" s="36"/>
    </row>
    <row r="2737" spans="22:22" x14ac:dyDescent="0.35">
      <c r="V2737" s="36"/>
    </row>
    <row r="2738" spans="22:22" x14ac:dyDescent="0.35">
      <c r="V2738" s="36"/>
    </row>
    <row r="2739" spans="22:22" x14ac:dyDescent="0.35">
      <c r="V2739" s="36"/>
    </row>
    <row r="2740" spans="22:22" x14ac:dyDescent="0.35">
      <c r="V2740" s="36"/>
    </row>
    <row r="2741" spans="22:22" x14ac:dyDescent="0.35">
      <c r="V2741" s="36"/>
    </row>
    <row r="2742" spans="22:22" x14ac:dyDescent="0.35">
      <c r="V2742" s="36"/>
    </row>
    <row r="2743" spans="22:22" x14ac:dyDescent="0.35">
      <c r="V2743" s="36"/>
    </row>
    <row r="2744" spans="22:22" x14ac:dyDescent="0.35">
      <c r="V2744" s="36"/>
    </row>
    <row r="2745" spans="22:22" x14ac:dyDescent="0.35">
      <c r="V2745" s="36"/>
    </row>
    <row r="2746" spans="22:22" x14ac:dyDescent="0.35">
      <c r="V2746" s="36"/>
    </row>
    <row r="2747" spans="22:22" x14ac:dyDescent="0.35">
      <c r="V2747" s="36"/>
    </row>
    <row r="2748" spans="22:22" x14ac:dyDescent="0.35">
      <c r="V2748" s="36"/>
    </row>
    <row r="2749" spans="22:22" x14ac:dyDescent="0.35">
      <c r="V2749" s="36"/>
    </row>
    <row r="2750" spans="22:22" x14ac:dyDescent="0.35">
      <c r="V2750" s="36"/>
    </row>
    <row r="2751" spans="22:22" x14ac:dyDescent="0.35">
      <c r="V2751" s="36"/>
    </row>
    <row r="2752" spans="22:22" x14ac:dyDescent="0.35">
      <c r="V2752" s="36"/>
    </row>
    <row r="2753" spans="22:22" x14ac:dyDescent="0.35">
      <c r="V2753" s="36"/>
    </row>
    <row r="2754" spans="22:22" x14ac:dyDescent="0.35">
      <c r="V2754" s="36"/>
    </row>
    <row r="2755" spans="22:22" x14ac:dyDescent="0.35">
      <c r="V2755" s="36"/>
    </row>
    <row r="2756" spans="22:22" x14ac:dyDescent="0.35">
      <c r="V2756" s="36"/>
    </row>
    <row r="2757" spans="22:22" x14ac:dyDescent="0.35">
      <c r="V2757" s="36"/>
    </row>
    <row r="2758" spans="22:22" x14ac:dyDescent="0.35">
      <c r="V2758" s="36"/>
    </row>
    <row r="2759" spans="22:22" x14ac:dyDescent="0.35">
      <c r="V2759" s="36"/>
    </row>
    <row r="2760" spans="22:22" x14ac:dyDescent="0.35">
      <c r="V2760" s="36"/>
    </row>
    <row r="2761" spans="22:22" x14ac:dyDescent="0.35">
      <c r="V2761" s="36"/>
    </row>
    <row r="2762" spans="22:22" x14ac:dyDescent="0.35">
      <c r="V2762" s="36"/>
    </row>
    <row r="2763" spans="22:22" x14ac:dyDescent="0.35">
      <c r="V2763" s="36"/>
    </row>
    <row r="2764" spans="22:22" x14ac:dyDescent="0.35">
      <c r="V2764" s="36"/>
    </row>
    <row r="2765" spans="22:22" x14ac:dyDescent="0.35">
      <c r="V2765" s="36"/>
    </row>
    <row r="2766" spans="22:22" x14ac:dyDescent="0.35">
      <c r="V2766" s="36"/>
    </row>
    <row r="2767" spans="22:22" x14ac:dyDescent="0.35">
      <c r="V2767" s="36"/>
    </row>
    <row r="2768" spans="22:22" x14ac:dyDescent="0.35">
      <c r="V2768" s="36"/>
    </row>
    <row r="2769" spans="22:22" x14ac:dyDescent="0.35">
      <c r="V2769" s="36"/>
    </row>
    <row r="2770" spans="22:22" x14ac:dyDescent="0.35">
      <c r="V2770" s="36"/>
    </row>
    <row r="2771" spans="22:22" x14ac:dyDescent="0.35">
      <c r="V2771" s="36"/>
    </row>
    <row r="2772" spans="22:22" x14ac:dyDescent="0.35">
      <c r="V2772" s="36"/>
    </row>
    <row r="2773" spans="22:22" x14ac:dyDescent="0.35">
      <c r="V2773" s="36"/>
    </row>
    <row r="2774" spans="22:22" x14ac:dyDescent="0.35">
      <c r="V2774" s="36"/>
    </row>
    <row r="2775" spans="22:22" x14ac:dyDescent="0.35">
      <c r="V2775" s="36"/>
    </row>
    <row r="2776" spans="22:22" x14ac:dyDescent="0.35">
      <c r="V2776" s="36"/>
    </row>
    <row r="2777" spans="22:22" x14ac:dyDescent="0.35">
      <c r="V2777" s="36"/>
    </row>
    <row r="2778" spans="22:22" x14ac:dyDescent="0.35">
      <c r="V2778" s="36"/>
    </row>
    <row r="2779" spans="22:22" x14ac:dyDescent="0.35">
      <c r="V2779" s="36"/>
    </row>
    <row r="2780" spans="22:22" x14ac:dyDescent="0.35">
      <c r="V2780" s="36"/>
    </row>
    <row r="2781" spans="22:22" x14ac:dyDescent="0.35">
      <c r="V2781" s="36"/>
    </row>
    <row r="2782" spans="22:22" x14ac:dyDescent="0.35">
      <c r="V2782" s="36"/>
    </row>
    <row r="2783" spans="22:22" x14ac:dyDescent="0.35">
      <c r="V2783" s="36"/>
    </row>
    <row r="2784" spans="22:22" x14ac:dyDescent="0.35">
      <c r="V2784" s="36"/>
    </row>
    <row r="2785" spans="22:22" x14ac:dyDescent="0.35">
      <c r="V2785" s="36"/>
    </row>
    <row r="2786" spans="22:22" x14ac:dyDescent="0.35">
      <c r="V2786" s="36"/>
    </row>
    <row r="2787" spans="22:22" x14ac:dyDescent="0.35">
      <c r="V2787" s="36"/>
    </row>
    <row r="2788" spans="22:22" x14ac:dyDescent="0.35">
      <c r="V2788" s="36"/>
    </row>
    <row r="2789" spans="22:22" x14ac:dyDescent="0.35">
      <c r="V2789" s="36"/>
    </row>
    <row r="2790" spans="22:22" x14ac:dyDescent="0.35">
      <c r="V2790" s="36"/>
    </row>
    <row r="2791" spans="22:22" x14ac:dyDescent="0.35">
      <c r="V2791" s="36"/>
    </row>
    <row r="2792" spans="22:22" x14ac:dyDescent="0.35">
      <c r="V2792" s="36"/>
    </row>
    <row r="2793" spans="22:22" x14ac:dyDescent="0.35">
      <c r="V2793" s="36"/>
    </row>
    <row r="2794" spans="22:22" x14ac:dyDescent="0.35">
      <c r="V2794" s="36"/>
    </row>
    <row r="2795" spans="22:22" x14ac:dyDescent="0.35">
      <c r="V2795" s="36"/>
    </row>
    <row r="2796" spans="22:22" x14ac:dyDescent="0.35">
      <c r="V2796" s="36"/>
    </row>
    <row r="2797" spans="22:22" x14ac:dyDescent="0.35">
      <c r="V2797" s="36"/>
    </row>
    <row r="2798" spans="22:22" x14ac:dyDescent="0.35">
      <c r="V2798" s="36"/>
    </row>
    <row r="2799" spans="22:22" x14ac:dyDescent="0.35">
      <c r="V2799" s="36"/>
    </row>
    <row r="2800" spans="22:22" x14ac:dyDescent="0.35">
      <c r="V2800" s="36"/>
    </row>
    <row r="2801" spans="22:22" x14ac:dyDescent="0.35">
      <c r="V2801" s="36"/>
    </row>
    <row r="2802" spans="22:22" x14ac:dyDescent="0.35">
      <c r="V2802" s="36"/>
    </row>
    <row r="2803" spans="22:22" x14ac:dyDescent="0.35">
      <c r="V2803" s="36"/>
    </row>
    <row r="2804" spans="22:22" x14ac:dyDescent="0.35">
      <c r="V2804" s="36"/>
    </row>
    <row r="2805" spans="22:22" x14ac:dyDescent="0.35">
      <c r="V2805" s="36"/>
    </row>
    <row r="2806" spans="22:22" x14ac:dyDescent="0.35">
      <c r="V2806" s="36"/>
    </row>
    <row r="2807" spans="22:22" x14ac:dyDescent="0.35">
      <c r="V2807" s="36"/>
    </row>
    <row r="2808" spans="22:22" x14ac:dyDescent="0.35">
      <c r="V2808" s="36"/>
    </row>
    <row r="2809" spans="22:22" x14ac:dyDescent="0.35">
      <c r="V2809" s="36"/>
    </row>
    <row r="2810" spans="22:22" x14ac:dyDescent="0.35">
      <c r="V2810" s="36"/>
    </row>
    <row r="2811" spans="22:22" x14ac:dyDescent="0.35">
      <c r="V2811" s="36"/>
    </row>
    <row r="2812" spans="22:22" x14ac:dyDescent="0.35">
      <c r="V2812" s="36"/>
    </row>
    <row r="2813" spans="22:22" x14ac:dyDescent="0.35">
      <c r="V2813" s="36"/>
    </row>
    <row r="2814" spans="22:22" x14ac:dyDescent="0.35">
      <c r="V2814" s="36"/>
    </row>
    <row r="2815" spans="22:22" x14ac:dyDescent="0.35">
      <c r="V2815" s="36"/>
    </row>
    <row r="2816" spans="22:22" x14ac:dyDescent="0.35">
      <c r="V2816" s="36"/>
    </row>
    <row r="2817" spans="22:22" x14ac:dyDescent="0.35">
      <c r="V2817" s="36"/>
    </row>
    <row r="2818" spans="22:22" x14ac:dyDescent="0.35">
      <c r="V2818" s="36"/>
    </row>
    <row r="2819" spans="22:22" x14ac:dyDescent="0.35">
      <c r="V2819" s="36"/>
    </row>
    <row r="2820" spans="22:22" x14ac:dyDescent="0.35">
      <c r="V2820" s="36"/>
    </row>
    <row r="2821" spans="22:22" x14ac:dyDescent="0.35">
      <c r="V2821" s="36"/>
    </row>
    <row r="2822" spans="22:22" x14ac:dyDescent="0.35">
      <c r="V2822" s="36"/>
    </row>
    <row r="2823" spans="22:22" x14ac:dyDescent="0.35">
      <c r="V2823" s="36"/>
    </row>
    <row r="2824" spans="22:22" x14ac:dyDescent="0.35">
      <c r="V2824" s="36"/>
    </row>
    <row r="2825" spans="22:22" x14ac:dyDescent="0.35">
      <c r="V2825" s="36"/>
    </row>
    <row r="2826" spans="22:22" x14ac:dyDescent="0.35">
      <c r="V2826" s="36"/>
    </row>
    <row r="2827" spans="22:22" x14ac:dyDescent="0.35">
      <c r="V2827" s="36"/>
    </row>
    <row r="2828" spans="22:22" x14ac:dyDescent="0.35">
      <c r="V2828" s="36"/>
    </row>
    <row r="2829" spans="22:22" x14ac:dyDescent="0.35">
      <c r="V2829" s="36"/>
    </row>
    <row r="2830" spans="22:22" x14ac:dyDescent="0.35">
      <c r="V2830" s="36"/>
    </row>
    <row r="2831" spans="22:22" x14ac:dyDescent="0.35">
      <c r="V2831" s="36"/>
    </row>
    <row r="2832" spans="22:22" x14ac:dyDescent="0.35">
      <c r="V2832" s="36"/>
    </row>
    <row r="2833" spans="22:22" x14ac:dyDescent="0.35">
      <c r="V2833" s="36"/>
    </row>
    <row r="2834" spans="22:22" x14ac:dyDescent="0.35">
      <c r="V2834" s="36"/>
    </row>
    <row r="2835" spans="22:22" x14ac:dyDescent="0.35">
      <c r="V2835" s="36"/>
    </row>
    <row r="2836" spans="22:22" x14ac:dyDescent="0.35">
      <c r="V2836" s="36"/>
    </row>
    <row r="2837" spans="22:22" x14ac:dyDescent="0.35">
      <c r="V2837" s="36"/>
    </row>
    <row r="2838" spans="22:22" x14ac:dyDescent="0.35">
      <c r="V2838" s="36"/>
    </row>
    <row r="2839" spans="22:22" x14ac:dyDescent="0.35">
      <c r="V2839" s="36"/>
    </row>
    <row r="2840" spans="22:22" x14ac:dyDescent="0.35">
      <c r="V2840" s="36"/>
    </row>
    <row r="2841" spans="22:22" x14ac:dyDescent="0.35">
      <c r="V2841" s="36"/>
    </row>
    <row r="2842" spans="22:22" x14ac:dyDescent="0.35">
      <c r="V2842" s="36"/>
    </row>
    <row r="2843" spans="22:22" x14ac:dyDescent="0.35">
      <c r="V2843" s="36"/>
    </row>
    <row r="2844" spans="22:22" x14ac:dyDescent="0.35">
      <c r="V2844" s="36"/>
    </row>
    <row r="2845" spans="22:22" x14ac:dyDescent="0.35">
      <c r="V2845" s="36"/>
    </row>
    <row r="2846" spans="22:22" x14ac:dyDescent="0.35">
      <c r="V2846" s="36"/>
    </row>
    <row r="2847" spans="22:22" x14ac:dyDescent="0.35">
      <c r="V2847" s="36"/>
    </row>
    <row r="2848" spans="22:22" x14ac:dyDescent="0.35">
      <c r="V2848" s="36"/>
    </row>
    <row r="2849" spans="22:22" x14ac:dyDescent="0.35">
      <c r="V2849" s="36"/>
    </row>
    <row r="2850" spans="22:22" x14ac:dyDescent="0.35">
      <c r="V2850" s="36"/>
    </row>
    <row r="2851" spans="22:22" x14ac:dyDescent="0.35">
      <c r="V2851" s="36"/>
    </row>
    <row r="2852" spans="22:22" x14ac:dyDescent="0.35">
      <c r="V2852" s="36"/>
    </row>
    <row r="2853" spans="22:22" x14ac:dyDescent="0.35">
      <c r="V2853" s="36"/>
    </row>
    <row r="2854" spans="22:22" x14ac:dyDescent="0.35">
      <c r="V2854" s="36"/>
    </row>
    <row r="2855" spans="22:22" x14ac:dyDescent="0.35">
      <c r="V2855" s="36"/>
    </row>
    <row r="2856" spans="22:22" x14ac:dyDescent="0.35">
      <c r="V2856" s="36"/>
    </row>
    <row r="2857" spans="22:22" x14ac:dyDescent="0.35">
      <c r="V2857" s="36"/>
    </row>
    <row r="2858" spans="22:22" x14ac:dyDescent="0.35">
      <c r="V2858" s="36"/>
    </row>
    <row r="2859" spans="22:22" x14ac:dyDescent="0.35">
      <c r="V2859" s="36"/>
    </row>
    <row r="2860" spans="22:22" x14ac:dyDescent="0.35">
      <c r="V2860" s="36"/>
    </row>
    <row r="2861" spans="22:22" x14ac:dyDescent="0.35">
      <c r="V2861" s="36"/>
    </row>
    <row r="2862" spans="22:22" x14ac:dyDescent="0.35">
      <c r="V2862" s="36"/>
    </row>
    <row r="2863" spans="22:22" x14ac:dyDescent="0.35">
      <c r="V2863" s="36"/>
    </row>
    <row r="2864" spans="22:22" x14ac:dyDescent="0.35">
      <c r="V2864" s="36"/>
    </row>
    <row r="2865" spans="22:22" x14ac:dyDescent="0.35">
      <c r="V2865" s="36"/>
    </row>
    <row r="2866" spans="22:22" x14ac:dyDescent="0.35">
      <c r="V2866" s="36"/>
    </row>
    <row r="2867" spans="22:22" x14ac:dyDescent="0.35">
      <c r="V2867" s="36"/>
    </row>
    <row r="2868" spans="22:22" x14ac:dyDescent="0.35">
      <c r="V2868" s="36"/>
    </row>
    <row r="2869" spans="22:22" x14ac:dyDescent="0.35">
      <c r="V2869" s="36"/>
    </row>
    <row r="2870" spans="22:22" x14ac:dyDescent="0.35">
      <c r="V2870" s="36"/>
    </row>
    <row r="2871" spans="22:22" x14ac:dyDescent="0.35">
      <c r="V2871" s="36"/>
    </row>
    <row r="2872" spans="22:22" x14ac:dyDescent="0.35">
      <c r="V2872" s="36"/>
    </row>
    <row r="2873" spans="22:22" x14ac:dyDescent="0.35">
      <c r="V2873" s="36"/>
    </row>
    <row r="2874" spans="22:22" x14ac:dyDescent="0.35">
      <c r="V2874" s="36"/>
    </row>
    <row r="2875" spans="22:22" x14ac:dyDescent="0.35">
      <c r="V2875" s="36"/>
    </row>
    <row r="2876" spans="22:22" x14ac:dyDescent="0.35">
      <c r="V2876" s="36"/>
    </row>
    <row r="2877" spans="22:22" x14ac:dyDescent="0.35">
      <c r="V2877" s="36"/>
    </row>
    <row r="2878" spans="22:22" x14ac:dyDescent="0.35">
      <c r="V2878" s="36"/>
    </row>
    <row r="2879" spans="22:22" x14ac:dyDescent="0.35">
      <c r="V2879" s="36"/>
    </row>
    <row r="2880" spans="22:22" x14ac:dyDescent="0.35">
      <c r="V2880" s="36"/>
    </row>
    <row r="2881" spans="22:22" x14ac:dyDescent="0.35">
      <c r="V2881" s="36"/>
    </row>
    <row r="2882" spans="22:22" x14ac:dyDescent="0.35">
      <c r="V2882" s="36"/>
    </row>
    <row r="2883" spans="22:22" x14ac:dyDescent="0.35">
      <c r="V2883" s="36"/>
    </row>
    <row r="2884" spans="22:22" x14ac:dyDescent="0.35">
      <c r="V2884" s="36"/>
    </row>
    <row r="2885" spans="22:22" x14ac:dyDescent="0.35">
      <c r="V2885" s="36"/>
    </row>
    <row r="2886" spans="22:22" x14ac:dyDescent="0.35">
      <c r="V2886" s="36"/>
    </row>
    <row r="2887" spans="22:22" x14ac:dyDescent="0.35">
      <c r="V2887" s="36"/>
    </row>
    <row r="2888" spans="22:22" x14ac:dyDescent="0.35">
      <c r="V2888" s="36"/>
    </row>
    <row r="2889" spans="22:22" x14ac:dyDescent="0.35">
      <c r="V2889" s="36"/>
    </row>
    <row r="2890" spans="22:22" x14ac:dyDescent="0.35">
      <c r="V2890" s="36"/>
    </row>
    <row r="2891" spans="22:22" x14ac:dyDescent="0.35">
      <c r="V2891" s="36"/>
    </row>
    <row r="2892" spans="22:22" x14ac:dyDescent="0.35">
      <c r="V2892" s="36"/>
    </row>
    <row r="2893" spans="22:22" x14ac:dyDescent="0.35">
      <c r="V2893" s="36"/>
    </row>
    <row r="2894" spans="22:22" x14ac:dyDescent="0.35">
      <c r="V2894" s="36"/>
    </row>
    <row r="2895" spans="22:22" x14ac:dyDescent="0.35">
      <c r="V2895" s="36"/>
    </row>
    <row r="2896" spans="22:22" x14ac:dyDescent="0.35">
      <c r="V2896" s="36"/>
    </row>
    <row r="2897" spans="22:22" x14ac:dyDescent="0.35">
      <c r="V2897" s="36"/>
    </row>
    <row r="2898" spans="22:22" x14ac:dyDescent="0.35">
      <c r="V2898" s="36"/>
    </row>
    <row r="2899" spans="22:22" x14ac:dyDescent="0.35">
      <c r="V2899" s="36"/>
    </row>
    <row r="2900" spans="22:22" x14ac:dyDescent="0.35">
      <c r="V2900" s="36"/>
    </row>
    <row r="2901" spans="22:22" x14ac:dyDescent="0.35">
      <c r="V2901" s="36"/>
    </row>
    <row r="2902" spans="22:22" x14ac:dyDescent="0.35">
      <c r="V2902" s="36"/>
    </row>
    <row r="2903" spans="22:22" x14ac:dyDescent="0.35">
      <c r="V2903" s="36"/>
    </row>
    <row r="2904" spans="22:22" x14ac:dyDescent="0.35">
      <c r="V2904" s="36"/>
    </row>
    <row r="2905" spans="22:22" x14ac:dyDescent="0.35">
      <c r="V2905" s="36"/>
    </row>
    <row r="2906" spans="22:22" x14ac:dyDescent="0.35">
      <c r="V2906" s="36"/>
    </row>
    <row r="2907" spans="22:22" x14ac:dyDescent="0.35">
      <c r="V2907" s="36"/>
    </row>
    <row r="2908" spans="22:22" x14ac:dyDescent="0.35">
      <c r="V2908" s="36"/>
    </row>
    <row r="2909" spans="22:22" x14ac:dyDescent="0.35">
      <c r="V2909" s="36"/>
    </row>
    <row r="2910" spans="22:22" x14ac:dyDescent="0.35">
      <c r="V2910" s="36"/>
    </row>
    <row r="2911" spans="22:22" x14ac:dyDescent="0.35">
      <c r="V2911" s="36"/>
    </row>
    <row r="2912" spans="22:22" x14ac:dyDescent="0.35">
      <c r="V2912" s="36"/>
    </row>
    <row r="2913" spans="22:22" x14ac:dyDescent="0.35">
      <c r="V2913" s="36"/>
    </row>
    <row r="2914" spans="22:22" x14ac:dyDescent="0.35">
      <c r="V2914" s="36"/>
    </row>
    <row r="2915" spans="22:22" x14ac:dyDescent="0.35">
      <c r="V2915" s="36"/>
    </row>
    <row r="2916" spans="22:22" x14ac:dyDescent="0.35">
      <c r="V2916" s="36"/>
    </row>
    <row r="2917" spans="22:22" x14ac:dyDescent="0.35">
      <c r="V2917" s="36"/>
    </row>
    <row r="2918" spans="22:22" x14ac:dyDescent="0.35">
      <c r="V2918" s="36"/>
    </row>
    <row r="2919" spans="22:22" x14ac:dyDescent="0.35">
      <c r="V2919" s="36"/>
    </row>
    <row r="2920" spans="22:22" x14ac:dyDescent="0.35">
      <c r="V2920" s="36"/>
    </row>
    <row r="2921" spans="22:22" x14ac:dyDescent="0.35">
      <c r="V2921" s="36"/>
    </row>
    <row r="2922" spans="22:22" x14ac:dyDescent="0.35">
      <c r="V2922" s="36"/>
    </row>
    <row r="2923" spans="22:22" x14ac:dyDescent="0.35">
      <c r="V2923" s="36"/>
    </row>
    <row r="2924" spans="22:22" x14ac:dyDescent="0.35">
      <c r="V2924" s="36"/>
    </row>
    <row r="2925" spans="22:22" x14ac:dyDescent="0.35">
      <c r="V2925" s="36"/>
    </row>
    <row r="2926" spans="22:22" x14ac:dyDescent="0.35">
      <c r="V2926" s="36"/>
    </row>
    <row r="2927" spans="22:22" x14ac:dyDescent="0.35">
      <c r="V2927" s="36"/>
    </row>
    <row r="2928" spans="22:22" x14ac:dyDescent="0.35">
      <c r="V2928" s="36"/>
    </row>
    <row r="2929" spans="22:22" x14ac:dyDescent="0.35">
      <c r="V2929" s="36"/>
    </row>
    <row r="2930" spans="22:22" x14ac:dyDescent="0.35">
      <c r="V2930" s="36"/>
    </row>
    <row r="2931" spans="22:22" x14ac:dyDescent="0.35">
      <c r="V2931" s="36"/>
    </row>
    <row r="2932" spans="22:22" x14ac:dyDescent="0.35">
      <c r="V2932" s="36"/>
    </row>
    <row r="2933" spans="22:22" x14ac:dyDescent="0.35">
      <c r="V2933" s="36"/>
    </row>
    <row r="2934" spans="22:22" x14ac:dyDescent="0.35">
      <c r="V2934" s="36"/>
    </row>
    <row r="2935" spans="22:22" x14ac:dyDescent="0.35">
      <c r="V2935" s="36"/>
    </row>
    <row r="2936" spans="22:22" x14ac:dyDescent="0.35">
      <c r="V2936" s="36"/>
    </row>
    <row r="2937" spans="22:22" x14ac:dyDescent="0.35">
      <c r="V2937" s="36"/>
    </row>
    <row r="2938" spans="22:22" x14ac:dyDescent="0.35">
      <c r="V2938" s="36"/>
    </row>
    <row r="2939" spans="22:22" x14ac:dyDescent="0.35">
      <c r="V2939" s="36"/>
    </row>
    <row r="2940" spans="22:22" x14ac:dyDescent="0.35">
      <c r="V2940" s="36"/>
    </row>
    <row r="2941" spans="22:22" x14ac:dyDescent="0.35">
      <c r="V2941" s="36"/>
    </row>
    <row r="2942" spans="22:22" x14ac:dyDescent="0.35">
      <c r="V2942" s="36"/>
    </row>
    <row r="2943" spans="22:22" x14ac:dyDescent="0.35">
      <c r="V2943" s="36"/>
    </row>
    <row r="2944" spans="22:22" x14ac:dyDescent="0.35">
      <c r="V2944" s="36"/>
    </row>
    <row r="2945" spans="22:22" x14ac:dyDescent="0.35">
      <c r="V2945" s="36"/>
    </row>
    <row r="2946" spans="22:22" x14ac:dyDescent="0.35">
      <c r="V2946" s="36"/>
    </row>
    <row r="2947" spans="22:22" x14ac:dyDescent="0.35">
      <c r="V2947" s="36"/>
    </row>
    <row r="2948" spans="22:22" x14ac:dyDescent="0.35">
      <c r="V2948" s="36"/>
    </row>
    <row r="2949" spans="22:22" x14ac:dyDescent="0.35">
      <c r="V2949" s="36"/>
    </row>
    <row r="2950" spans="22:22" x14ac:dyDescent="0.35">
      <c r="V2950" s="36"/>
    </row>
    <row r="2951" spans="22:22" x14ac:dyDescent="0.35">
      <c r="V2951" s="36"/>
    </row>
    <row r="2952" spans="22:22" x14ac:dyDescent="0.35">
      <c r="V2952" s="36"/>
    </row>
    <row r="2953" spans="22:22" x14ac:dyDescent="0.35">
      <c r="V2953" s="36"/>
    </row>
    <row r="2954" spans="22:22" x14ac:dyDescent="0.35">
      <c r="V2954" s="36"/>
    </row>
    <row r="2955" spans="22:22" x14ac:dyDescent="0.35">
      <c r="V2955" s="36"/>
    </row>
    <row r="2956" spans="22:22" x14ac:dyDescent="0.35">
      <c r="V2956" s="36"/>
    </row>
    <row r="2957" spans="22:22" x14ac:dyDescent="0.35">
      <c r="V2957" s="36"/>
    </row>
    <row r="2958" spans="22:22" x14ac:dyDescent="0.35">
      <c r="V2958" s="36"/>
    </row>
    <row r="2959" spans="22:22" x14ac:dyDescent="0.35">
      <c r="V2959" s="36"/>
    </row>
    <row r="2960" spans="22:22" x14ac:dyDescent="0.35">
      <c r="V2960" s="36"/>
    </row>
    <row r="2961" spans="22:22" x14ac:dyDescent="0.35">
      <c r="V2961" s="36"/>
    </row>
    <row r="2962" spans="22:22" x14ac:dyDescent="0.35">
      <c r="V2962" s="36"/>
    </row>
    <row r="2963" spans="22:22" x14ac:dyDescent="0.35">
      <c r="V2963" s="36"/>
    </row>
    <row r="2964" spans="22:22" x14ac:dyDescent="0.35">
      <c r="V2964" s="36"/>
    </row>
    <row r="2965" spans="22:22" x14ac:dyDescent="0.35">
      <c r="V2965" s="36"/>
    </row>
    <row r="2966" spans="22:22" x14ac:dyDescent="0.35">
      <c r="V2966" s="36"/>
    </row>
    <row r="2967" spans="22:22" x14ac:dyDescent="0.35">
      <c r="V2967" s="36"/>
    </row>
    <row r="2968" spans="22:22" x14ac:dyDescent="0.35">
      <c r="V2968" s="36"/>
    </row>
    <row r="2969" spans="22:22" x14ac:dyDescent="0.35">
      <c r="V2969" s="36"/>
    </row>
    <row r="2970" spans="22:22" x14ac:dyDescent="0.35">
      <c r="V2970" s="36"/>
    </row>
    <row r="2971" spans="22:22" x14ac:dyDescent="0.35">
      <c r="V2971" s="36"/>
    </row>
    <row r="2972" spans="22:22" x14ac:dyDescent="0.35">
      <c r="V2972" s="36"/>
    </row>
    <row r="2973" spans="22:22" x14ac:dyDescent="0.35">
      <c r="V2973" s="36"/>
    </row>
    <row r="2974" spans="22:22" x14ac:dyDescent="0.35">
      <c r="V2974" s="36"/>
    </row>
    <row r="2975" spans="22:22" x14ac:dyDescent="0.35">
      <c r="V2975" s="36"/>
    </row>
    <row r="2976" spans="22:22" x14ac:dyDescent="0.35">
      <c r="V2976" s="36"/>
    </row>
    <row r="2977" spans="22:22" x14ac:dyDescent="0.35">
      <c r="V2977" s="36"/>
    </row>
    <row r="2978" spans="22:22" x14ac:dyDescent="0.35">
      <c r="V2978" s="36"/>
    </row>
    <row r="2979" spans="22:22" x14ac:dyDescent="0.35">
      <c r="V2979" s="36"/>
    </row>
    <row r="2980" spans="22:22" x14ac:dyDescent="0.35">
      <c r="V2980" s="36"/>
    </row>
    <row r="2981" spans="22:22" x14ac:dyDescent="0.35">
      <c r="V2981" s="36"/>
    </row>
    <row r="2982" spans="22:22" x14ac:dyDescent="0.35">
      <c r="V2982" s="36"/>
    </row>
    <row r="2983" spans="22:22" x14ac:dyDescent="0.35">
      <c r="V2983" s="36"/>
    </row>
    <row r="2984" spans="22:22" x14ac:dyDescent="0.35">
      <c r="V2984" s="36"/>
    </row>
    <row r="2985" spans="22:22" x14ac:dyDescent="0.35">
      <c r="V2985" s="36"/>
    </row>
    <row r="2986" spans="22:22" x14ac:dyDescent="0.35">
      <c r="V2986" s="36"/>
    </row>
    <row r="2987" spans="22:22" x14ac:dyDescent="0.35">
      <c r="V2987" s="36"/>
    </row>
    <row r="2988" spans="22:22" x14ac:dyDescent="0.35">
      <c r="V2988" s="36"/>
    </row>
    <row r="2989" spans="22:22" x14ac:dyDescent="0.35">
      <c r="V2989" s="36"/>
    </row>
    <row r="2990" spans="22:22" x14ac:dyDescent="0.35">
      <c r="V2990" s="36"/>
    </row>
    <row r="2991" spans="22:22" x14ac:dyDescent="0.35">
      <c r="V2991" s="36"/>
    </row>
    <row r="2992" spans="22:22" x14ac:dyDescent="0.35">
      <c r="V2992" s="36"/>
    </row>
    <row r="2993" spans="22:22" x14ac:dyDescent="0.35">
      <c r="V2993" s="36"/>
    </row>
    <row r="2994" spans="22:22" x14ac:dyDescent="0.35">
      <c r="V2994" s="36"/>
    </row>
    <row r="2995" spans="22:22" x14ac:dyDescent="0.35">
      <c r="V2995" s="36"/>
    </row>
    <row r="2996" spans="22:22" x14ac:dyDescent="0.35">
      <c r="V2996" s="36"/>
    </row>
    <row r="2997" spans="22:22" x14ac:dyDescent="0.35">
      <c r="V2997" s="36"/>
    </row>
    <row r="2998" spans="22:22" x14ac:dyDescent="0.35">
      <c r="V2998" s="36"/>
    </row>
    <row r="2999" spans="22:22" x14ac:dyDescent="0.35">
      <c r="V2999" s="36"/>
    </row>
    <row r="3000" spans="22:22" x14ac:dyDescent="0.35">
      <c r="V3000" s="36"/>
    </row>
    <row r="3001" spans="22:22" x14ac:dyDescent="0.35">
      <c r="V3001" s="36"/>
    </row>
    <row r="3002" spans="22:22" x14ac:dyDescent="0.35">
      <c r="V3002" s="36"/>
    </row>
    <row r="3003" spans="22:22" x14ac:dyDescent="0.35">
      <c r="V3003" s="36"/>
    </row>
    <row r="3004" spans="22:22" x14ac:dyDescent="0.35">
      <c r="V3004" s="36"/>
    </row>
    <row r="3005" spans="22:22" x14ac:dyDescent="0.35">
      <c r="V3005" s="36"/>
    </row>
    <row r="3006" spans="22:22" x14ac:dyDescent="0.35">
      <c r="V3006" s="36"/>
    </row>
    <row r="3007" spans="22:22" x14ac:dyDescent="0.35">
      <c r="V3007" s="36"/>
    </row>
    <row r="3008" spans="22:22" x14ac:dyDescent="0.35">
      <c r="V3008" s="36"/>
    </row>
    <row r="3009" spans="22:22" x14ac:dyDescent="0.35">
      <c r="V3009" s="36"/>
    </row>
    <row r="3010" spans="22:22" x14ac:dyDescent="0.35">
      <c r="V3010" s="36"/>
    </row>
    <row r="3011" spans="22:22" x14ac:dyDescent="0.35">
      <c r="V3011" s="36"/>
    </row>
    <row r="3012" spans="22:22" x14ac:dyDescent="0.35">
      <c r="V3012" s="36"/>
    </row>
    <row r="3013" spans="22:22" x14ac:dyDescent="0.35">
      <c r="V3013" s="36"/>
    </row>
    <row r="3014" spans="22:22" x14ac:dyDescent="0.35">
      <c r="V3014" s="36"/>
    </row>
    <row r="3015" spans="22:22" x14ac:dyDescent="0.35">
      <c r="V3015" s="36"/>
    </row>
    <row r="3016" spans="22:22" x14ac:dyDescent="0.35">
      <c r="V3016" s="36"/>
    </row>
    <row r="3017" spans="22:22" x14ac:dyDescent="0.35">
      <c r="V3017" s="36"/>
    </row>
    <row r="3018" spans="22:22" x14ac:dyDescent="0.35">
      <c r="V3018" s="36"/>
    </row>
    <row r="3019" spans="22:22" x14ac:dyDescent="0.35">
      <c r="V3019" s="36"/>
    </row>
    <row r="3020" spans="22:22" x14ac:dyDescent="0.35">
      <c r="V3020" s="36"/>
    </row>
    <row r="3021" spans="22:22" x14ac:dyDescent="0.35">
      <c r="V3021" s="36"/>
    </row>
    <row r="3022" spans="22:22" x14ac:dyDescent="0.35">
      <c r="V3022" s="36"/>
    </row>
    <row r="3023" spans="22:22" x14ac:dyDescent="0.35">
      <c r="V3023" s="36"/>
    </row>
    <row r="3024" spans="22:22" x14ac:dyDescent="0.35">
      <c r="V3024" s="36"/>
    </row>
    <row r="3025" spans="22:22" x14ac:dyDescent="0.35">
      <c r="V3025" s="36"/>
    </row>
    <row r="3026" spans="22:22" x14ac:dyDescent="0.35">
      <c r="V3026" s="36"/>
    </row>
    <row r="3027" spans="22:22" x14ac:dyDescent="0.35">
      <c r="V3027" s="36"/>
    </row>
    <row r="3028" spans="22:22" x14ac:dyDescent="0.35">
      <c r="V3028" s="36"/>
    </row>
    <row r="3029" spans="22:22" x14ac:dyDescent="0.35">
      <c r="V3029" s="36"/>
    </row>
    <row r="3030" spans="22:22" x14ac:dyDescent="0.35">
      <c r="V3030" s="36"/>
    </row>
    <row r="3031" spans="22:22" x14ac:dyDescent="0.35">
      <c r="V3031" s="36"/>
    </row>
    <row r="3032" spans="22:22" x14ac:dyDescent="0.35">
      <c r="V3032" s="36"/>
    </row>
    <row r="3033" spans="22:22" x14ac:dyDescent="0.35">
      <c r="V3033" s="36"/>
    </row>
    <row r="3034" spans="22:22" x14ac:dyDescent="0.35">
      <c r="V3034" s="36"/>
    </row>
    <row r="3035" spans="22:22" x14ac:dyDescent="0.35">
      <c r="V3035" s="36"/>
    </row>
    <row r="3036" spans="22:22" x14ac:dyDescent="0.35">
      <c r="V3036" s="36"/>
    </row>
    <row r="3037" spans="22:22" x14ac:dyDescent="0.35">
      <c r="V3037" s="36"/>
    </row>
    <row r="3038" spans="22:22" x14ac:dyDescent="0.35">
      <c r="V3038" s="36"/>
    </row>
    <row r="3039" spans="22:22" x14ac:dyDescent="0.35">
      <c r="V3039" s="36"/>
    </row>
    <row r="3040" spans="22:22" x14ac:dyDescent="0.35">
      <c r="V3040" s="36"/>
    </row>
    <row r="3041" spans="22:22" x14ac:dyDescent="0.35">
      <c r="V3041" s="36"/>
    </row>
    <row r="3042" spans="22:22" x14ac:dyDescent="0.35">
      <c r="V3042" s="36"/>
    </row>
    <row r="3043" spans="22:22" x14ac:dyDescent="0.35">
      <c r="V3043" s="36"/>
    </row>
    <row r="3044" spans="22:22" x14ac:dyDescent="0.35">
      <c r="V3044" s="36"/>
    </row>
    <row r="3045" spans="22:22" x14ac:dyDescent="0.35">
      <c r="V3045" s="36"/>
    </row>
    <row r="3046" spans="22:22" x14ac:dyDescent="0.35">
      <c r="V3046" s="36"/>
    </row>
    <row r="3047" spans="22:22" x14ac:dyDescent="0.35">
      <c r="V3047" s="36"/>
    </row>
    <row r="3048" spans="22:22" x14ac:dyDescent="0.35">
      <c r="V3048" s="36"/>
    </row>
    <row r="3049" spans="22:22" x14ac:dyDescent="0.35">
      <c r="V3049" s="36"/>
    </row>
    <row r="3050" spans="22:22" x14ac:dyDescent="0.35">
      <c r="V3050" s="36"/>
    </row>
    <row r="3051" spans="22:22" x14ac:dyDescent="0.35">
      <c r="V3051" s="36"/>
    </row>
    <row r="3052" spans="22:22" x14ac:dyDescent="0.35">
      <c r="V3052" s="36"/>
    </row>
    <row r="3053" spans="22:22" x14ac:dyDescent="0.35">
      <c r="V3053" s="36"/>
    </row>
    <row r="3054" spans="22:22" x14ac:dyDescent="0.35">
      <c r="V3054" s="36"/>
    </row>
    <row r="3055" spans="22:22" x14ac:dyDescent="0.35">
      <c r="V3055" s="36"/>
    </row>
    <row r="3056" spans="22:22" x14ac:dyDescent="0.35">
      <c r="V3056" s="36"/>
    </row>
    <row r="3057" spans="22:22" x14ac:dyDescent="0.35">
      <c r="V3057" s="36"/>
    </row>
    <row r="3058" spans="22:22" x14ac:dyDescent="0.35">
      <c r="V3058" s="36"/>
    </row>
    <row r="3059" spans="22:22" x14ac:dyDescent="0.35">
      <c r="V3059" s="36"/>
    </row>
    <row r="3060" spans="22:22" x14ac:dyDescent="0.35">
      <c r="V3060" s="36"/>
    </row>
    <row r="3061" spans="22:22" x14ac:dyDescent="0.35">
      <c r="V3061" s="36"/>
    </row>
    <row r="3062" spans="22:22" x14ac:dyDescent="0.35">
      <c r="V3062" s="36"/>
    </row>
    <row r="3063" spans="22:22" x14ac:dyDescent="0.35">
      <c r="V3063" s="36"/>
    </row>
    <row r="3064" spans="22:22" x14ac:dyDescent="0.35">
      <c r="V3064" s="36"/>
    </row>
    <row r="3065" spans="22:22" x14ac:dyDescent="0.35">
      <c r="V3065" s="36"/>
    </row>
    <row r="3066" spans="22:22" x14ac:dyDescent="0.35">
      <c r="V3066" s="36"/>
    </row>
    <row r="3067" spans="22:22" x14ac:dyDescent="0.35">
      <c r="V3067" s="36"/>
    </row>
    <row r="3068" spans="22:22" x14ac:dyDescent="0.35">
      <c r="V3068" s="36"/>
    </row>
    <row r="3069" spans="22:22" x14ac:dyDescent="0.35">
      <c r="V3069" s="36"/>
    </row>
    <row r="3070" spans="22:22" x14ac:dyDescent="0.35">
      <c r="V3070" s="36"/>
    </row>
    <row r="3071" spans="22:22" x14ac:dyDescent="0.35">
      <c r="V3071" s="36"/>
    </row>
    <row r="3072" spans="22:22" x14ac:dyDescent="0.35">
      <c r="V3072" s="36"/>
    </row>
    <row r="3073" spans="22:22" x14ac:dyDescent="0.35">
      <c r="V3073" s="36"/>
    </row>
    <row r="3074" spans="22:22" x14ac:dyDescent="0.35">
      <c r="V3074" s="36"/>
    </row>
    <row r="3075" spans="22:22" x14ac:dyDescent="0.35">
      <c r="V3075" s="36"/>
    </row>
    <row r="3076" spans="22:22" x14ac:dyDescent="0.35">
      <c r="V3076" s="36"/>
    </row>
    <row r="3077" spans="22:22" x14ac:dyDescent="0.35">
      <c r="V3077" s="36"/>
    </row>
    <row r="3078" spans="22:22" x14ac:dyDescent="0.35">
      <c r="V3078" s="36"/>
    </row>
    <row r="3079" spans="22:22" x14ac:dyDescent="0.35">
      <c r="V3079" s="36"/>
    </row>
    <row r="3080" spans="22:22" x14ac:dyDescent="0.35">
      <c r="V3080" s="36"/>
    </row>
    <row r="3081" spans="22:22" x14ac:dyDescent="0.35">
      <c r="V3081" s="36"/>
    </row>
    <row r="3082" spans="22:22" x14ac:dyDescent="0.35">
      <c r="V3082" s="36"/>
    </row>
    <row r="3083" spans="22:22" x14ac:dyDescent="0.35">
      <c r="V3083" s="36"/>
    </row>
    <row r="3084" spans="22:22" x14ac:dyDescent="0.35">
      <c r="V3084" s="36"/>
    </row>
    <row r="3085" spans="22:22" x14ac:dyDescent="0.35">
      <c r="V3085" s="36"/>
    </row>
    <row r="3086" spans="22:22" x14ac:dyDescent="0.35">
      <c r="V3086" s="36"/>
    </row>
    <row r="3087" spans="22:22" x14ac:dyDescent="0.35">
      <c r="V3087" s="36"/>
    </row>
    <row r="3088" spans="22:22" x14ac:dyDescent="0.35">
      <c r="V3088" s="36"/>
    </row>
    <row r="3089" spans="22:22" x14ac:dyDescent="0.35">
      <c r="V3089" s="36"/>
    </row>
    <row r="3090" spans="22:22" x14ac:dyDescent="0.35">
      <c r="V3090" s="36"/>
    </row>
    <row r="3091" spans="22:22" x14ac:dyDescent="0.35">
      <c r="V3091" s="36"/>
    </row>
    <row r="3092" spans="22:22" x14ac:dyDescent="0.35">
      <c r="V3092" s="36"/>
    </row>
    <row r="3093" spans="22:22" x14ac:dyDescent="0.35">
      <c r="V3093" s="36"/>
    </row>
    <row r="3094" spans="22:22" x14ac:dyDescent="0.35">
      <c r="V3094" s="36"/>
    </row>
    <row r="3095" spans="22:22" x14ac:dyDescent="0.35">
      <c r="V3095" s="36"/>
    </row>
    <row r="3096" spans="22:22" x14ac:dyDescent="0.35">
      <c r="V3096" s="36"/>
    </row>
    <row r="3097" spans="22:22" x14ac:dyDescent="0.35">
      <c r="V3097" s="36"/>
    </row>
    <row r="3098" spans="22:22" x14ac:dyDescent="0.35">
      <c r="V3098" s="36"/>
    </row>
    <row r="3099" spans="22:22" x14ac:dyDescent="0.35">
      <c r="V3099" s="36"/>
    </row>
    <row r="3100" spans="22:22" x14ac:dyDescent="0.35">
      <c r="V3100" s="36"/>
    </row>
    <row r="3101" spans="22:22" x14ac:dyDescent="0.35">
      <c r="V3101" s="36"/>
    </row>
    <row r="3102" spans="22:22" x14ac:dyDescent="0.35">
      <c r="V3102" s="36"/>
    </row>
    <row r="3103" spans="22:22" x14ac:dyDescent="0.35">
      <c r="V3103" s="36"/>
    </row>
    <row r="3104" spans="22:22" x14ac:dyDescent="0.35">
      <c r="V3104" s="36"/>
    </row>
    <row r="3105" spans="22:22" x14ac:dyDescent="0.35">
      <c r="V3105" s="36"/>
    </row>
    <row r="3106" spans="22:22" x14ac:dyDescent="0.35">
      <c r="V3106" s="36"/>
    </row>
    <row r="3107" spans="22:22" x14ac:dyDescent="0.35">
      <c r="V3107" s="36"/>
    </row>
    <row r="3108" spans="22:22" x14ac:dyDescent="0.35">
      <c r="V3108" s="36"/>
    </row>
    <row r="3109" spans="22:22" x14ac:dyDescent="0.35">
      <c r="V3109" s="36"/>
    </row>
    <row r="3110" spans="22:22" x14ac:dyDescent="0.35">
      <c r="V3110" s="36"/>
    </row>
    <row r="3111" spans="22:22" x14ac:dyDescent="0.35">
      <c r="V3111" s="36"/>
    </row>
    <row r="3112" spans="22:22" x14ac:dyDescent="0.35">
      <c r="V3112" s="36"/>
    </row>
    <row r="3113" spans="22:22" x14ac:dyDescent="0.35">
      <c r="V3113" s="36"/>
    </row>
    <row r="3114" spans="22:22" x14ac:dyDescent="0.35">
      <c r="V3114" s="36"/>
    </row>
    <row r="3115" spans="22:22" x14ac:dyDescent="0.35">
      <c r="V3115" s="36"/>
    </row>
    <row r="3116" spans="22:22" x14ac:dyDescent="0.35">
      <c r="V3116" s="36"/>
    </row>
    <row r="3117" spans="22:22" x14ac:dyDescent="0.35">
      <c r="V3117" s="36"/>
    </row>
    <row r="3118" spans="22:22" x14ac:dyDescent="0.35">
      <c r="V3118" s="36"/>
    </row>
    <row r="3119" spans="22:22" x14ac:dyDescent="0.35">
      <c r="V3119" s="36"/>
    </row>
    <row r="3120" spans="22:22" x14ac:dyDescent="0.35">
      <c r="V3120" s="36"/>
    </row>
    <row r="3121" spans="22:22" x14ac:dyDescent="0.35">
      <c r="V3121" s="36"/>
    </row>
    <row r="3122" spans="22:22" x14ac:dyDescent="0.35">
      <c r="V3122" s="36"/>
    </row>
    <row r="3123" spans="22:22" x14ac:dyDescent="0.35">
      <c r="V3123" s="36"/>
    </row>
    <row r="3124" spans="22:22" x14ac:dyDescent="0.35">
      <c r="V3124" s="36"/>
    </row>
    <row r="3125" spans="22:22" x14ac:dyDescent="0.35">
      <c r="V3125" s="36"/>
    </row>
    <row r="3126" spans="22:22" x14ac:dyDescent="0.35">
      <c r="V3126" s="36"/>
    </row>
    <row r="3127" spans="22:22" x14ac:dyDescent="0.35">
      <c r="V3127" s="36"/>
    </row>
    <row r="3128" spans="22:22" x14ac:dyDescent="0.35">
      <c r="V3128" s="36"/>
    </row>
    <row r="3129" spans="22:22" x14ac:dyDescent="0.35">
      <c r="V3129" s="36"/>
    </row>
    <row r="3130" spans="22:22" x14ac:dyDescent="0.35">
      <c r="V3130" s="36"/>
    </row>
    <row r="3131" spans="22:22" x14ac:dyDescent="0.35">
      <c r="V3131" s="36"/>
    </row>
    <row r="3132" spans="22:22" x14ac:dyDescent="0.35">
      <c r="V3132" s="36"/>
    </row>
    <row r="3133" spans="22:22" x14ac:dyDescent="0.35">
      <c r="V3133" s="36"/>
    </row>
    <row r="3134" spans="22:22" x14ac:dyDescent="0.35">
      <c r="V3134" s="36"/>
    </row>
    <row r="3135" spans="22:22" x14ac:dyDescent="0.35">
      <c r="V3135" s="36"/>
    </row>
    <row r="3136" spans="22:22" x14ac:dyDescent="0.35">
      <c r="V3136" s="36"/>
    </row>
    <row r="3137" spans="22:22" x14ac:dyDescent="0.35">
      <c r="V3137" s="36"/>
    </row>
    <row r="3138" spans="22:22" x14ac:dyDescent="0.35">
      <c r="V3138" s="36"/>
    </row>
    <row r="3139" spans="22:22" x14ac:dyDescent="0.35">
      <c r="V3139" s="36"/>
    </row>
    <row r="3140" spans="22:22" x14ac:dyDescent="0.35">
      <c r="V3140" s="36"/>
    </row>
    <row r="3141" spans="22:22" x14ac:dyDescent="0.35">
      <c r="V3141" s="36"/>
    </row>
    <row r="3142" spans="22:22" x14ac:dyDescent="0.35">
      <c r="V3142" s="36"/>
    </row>
    <row r="3143" spans="22:22" x14ac:dyDescent="0.35">
      <c r="V3143" s="36"/>
    </row>
    <row r="3144" spans="22:22" x14ac:dyDescent="0.35">
      <c r="V3144" s="36"/>
    </row>
    <row r="3145" spans="22:22" x14ac:dyDescent="0.35">
      <c r="V3145" s="36"/>
    </row>
    <row r="3146" spans="22:22" x14ac:dyDescent="0.35">
      <c r="V3146" s="36"/>
    </row>
    <row r="3147" spans="22:22" x14ac:dyDescent="0.35">
      <c r="V3147" s="36"/>
    </row>
    <row r="3148" spans="22:22" x14ac:dyDescent="0.35">
      <c r="V3148" s="36"/>
    </row>
    <row r="3149" spans="22:22" x14ac:dyDescent="0.35">
      <c r="V3149" s="36"/>
    </row>
    <row r="3150" spans="22:22" x14ac:dyDescent="0.35">
      <c r="V3150" s="36"/>
    </row>
    <row r="3151" spans="22:22" x14ac:dyDescent="0.35">
      <c r="V3151" s="36"/>
    </row>
    <row r="3152" spans="22:22" x14ac:dyDescent="0.35">
      <c r="V3152" s="36"/>
    </row>
    <row r="3153" spans="22:22" x14ac:dyDescent="0.35">
      <c r="V3153" s="36"/>
    </row>
    <row r="3154" spans="22:22" x14ac:dyDescent="0.35">
      <c r="V3154" s="36"/>
    </row>
    <row r="3155" spans="22:22" x14ac:dyDescent="0.35">
      <c r="V3155" s="36"/>
    </row>
    <row r="3156" spans="22:22" x14ac:dyDescent="0.35">
      <c r="V3156" s="36"/>
    </row>
    <row r="3157" spans="22:22" x14ac:dyDescent="0.35">
      <c r="V3157" s="36"/>
    </row>
    <row r="3158" spans="22:22" x14ac:dyDescent="0.35">
      <c r="V3158" s="36"/>
    </row>
    <row r="3159" spans="22:22" x14ac:dyDescent="0.35">
      <c r="V3159" s="36"/>
    </row>
    <row r="3160" spans="22:22" x14ac:dyDescent="0.35">
      <c r="V3160" s="36"/>
    </row>
    <row r="3161" spans="22:22" x14ac:dyDescent="0.35"/>
    <row r="3162" spans="22:22" x14ac:dyDescent="0.35"/>
    <row r="3163" spans="22:22" x14ac:dyDescent="0.35"/>
    <row r="3164" spans="22:22" x14ac:dyDescent="0.35"/>
    <row r="3165" spans="22:22" x14ac:dyDescent="0.35"/>
    <row r="3166" spans="22:22" x14ac:dyDescent="0.35"/>
    <row r="3167" spans="22:22" x14ac:dyDescent="0.35"/>
    <row r="3168" spans="22:22" x14ac:dyDescent="0.35"/>
    <row r="3169" x14ac:dyDescent="0.35"/>
    <row r="3170" x14ac:dyDescent="0.35"/>
    <row r="3171" x14ac:dyDescent="0.35"/>
    <row r="3172" x14ac:dyDescent="0.35"/>
    <row r="3173" x14ac:dyDescent="0.35"/>
    <row r="3174" x14ac:dyDescent="0.35"/>
    <row r="3175" x14ac:dyDescent="0.35"/>
    <row r="3176" x14ac:dyDescent="0.35"/>
    <row r="3177" x14ac:dyDescent="0.35"/>
    <row r="3178" x14ac:dyDescent="0.35"/>
    <row r="3179" x14ac:dyDescent="0.35"/>
    <row r="3180" x14ac:dyDescent="0.35"/>
    <row r="3181" x14ac:dyDescent="0.35"/>
    <row r="3182" x14ac:dyDescent="0.35"/>
    <row r="3183" x14ac:dyDescent="0.35"/>
    <row r="3184" x14ac:dyDescent="0.35"/>
    <row r="3185" x14ac:dyDescent="0.35"/>
    <row r="3186" x14ac:dyDescent="0.35"/>
    <row r="3187" x14ac:dyDescent="0.35"/>
    <row r="3188" x14ac:dyDescent="0.35"/>
    <row r="3189" x14ac:dyDescent="0.35"/>
    <row r="3190" x14ac:dyDescent="0.35"/>
    <row r="3191" x14ac:dyDescent="0.35"/>
    <row r="3192" x14ac:dyDescent="0.35"/>
    <row r="3193" x14ac:dyDescent="0.35"/>
    <row r="3194" x14ac:dyDescent="0.35"/>
    <row r="3195" x14ac:dyDescent="0.35"/>
    <row r="3196" x14ac:dyDescent="0.35"/>
    <row r="3197" x14ac:dyDescent="0.35"/>
    <row r="3198" x14ac:dyDescent="0.35"/>
    <row r="3199" x14ac:dyDescent="0.35"/>
    <row r="3200" x14ac:dyDescent="0.35"/>
    <row r="3201" x14ac:dyDescent="0.35"/>
    <row r="3202" x14ac:dyDescent="0.35"/>
    <row r="3203" x14ac:dyDescent="0.35"/>
    <row r="3204" x14ac:dyDescent="0.35"/>
    <row r="3205" x14ac:dyDescent="0.35"/>
    <row r="3206" x14ac:dyDescent="0.35"/>
    <row r="3207" x14ac:dyDescent="0.35"/>
  </sheetData>
  <autoFilter ref="A1:AF208" xr:uid="{B2F4D84C-DDDB-42EA-9E44-3873A4B75D1A}">
    <filterColumn colId="8">
      <filters>
        <filter val="SAP"/>
      </filters>
    </filterColumn>
  </autoFilter>
  <sortState xmlns:xlrd2="http://schemas.microsoft.com/office/spreadsheetml/2017/richdata2" ref="A2:AF3207">
    <sortCondition ref="X2:X3207"/>
  </sortState>
  <pageMargins left="0.7" right="0.7" top="0.75" bottom="0.75" header="0.3" footer="0.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EB25-49AD-4057-A698-540717ABDFBF}">
  <dimension ref="C2:D41"/>
  <sheetViews>
    <sheetView topLeftCell="A25" workbookViewId="0">
      <selection activeCell="M34" sqref="M34"/>
    </sheetView>
  </sheetViews>
  <sheetFormatPr defaultRowHeight="16" x14ac:dyDescent="0.4"/>
  <cols>
    <col min="3" max="3" width="12.1640625" bestFit="1" customWidth="1"/>
    <col min="4" max="4" width="12.83203125" bestFit="1" customWidth="1"/>
  </cols>
  <sheetData>
    <row r="2" spans="3:4" x14ac:dyDescent="0.4">
      <c r="C2" s="46" t="s">
        <v>602</v>
      </c>
      <c r="D2" t="s">
        <v>604</v>
      </c>
    </row>
    <row r="3" spans="3:4" x14ac:dyDescent="0.4">
      <c r="C3" s="47" t="s">
        <v>73</v>
      </c>
      <c r="D3" s="48">
        <v>19.593166947790202</v>
      </c>
    </row>
    <row r="4" spans="3:4" x14ac:dyDescent="0.4">
      <c r="C4" s="47" t="s">
        <v>27</v>
      </c>
      <c r="D4" s="48">
        <v>21.799754483686751</v>
      </c>
    </row>
    <row r="5" spans="3:4" x14ac:dyDescent="0.4">
      <c r="C5" s="47" t="s">
        <v>146</v>
      </c>
      <c r="D5" s="48">
        <v>0.44193842494714586</v>
      </c>
    </row>
    <row r="6" spans="3:4" x14ac:dyDescent="0.4">
      <c r="C6" s="47" t="s">
        <v>100</v>
      </c>
      <c r="D6" s="48">
        <v>5.8414427240836053</v>
      </c>
    </row>
    <row r="7" spans="3:4" x14ac:dyDescent="0.4">
      <c r="C7" s="47" t="s">
        <v>53</v>
      </c>
      <c r="D7" s="48">
        <v>2.9420271056455887</v>
      </c>
    </row>
    <row r="8" spans="3:4" x14ac:dyDescent="0.4">
      <c r="C8" s="47" t="s">
        <v>193</v>
      </c>
      <c r="D8" s="48">
        <v>0.38935249784668391</v>
      </c>
    </row>
    <row r="9" spans="3:4" x14ac:dyDescent="0.4">
      <c r="C9" s="47" t="s">
        <v>50</v>
      </c>
      <c r="D9" s="48">
        <v>2.0557155708680259</v>
      </c>
    </row>
    <row r="10" spans="3:4" x14ac:dyDescent="0.4">
      <c r="C10" s="47" t="s">
        <v>56</v>
      </c>
      <c r="D10" s="48">
        <v>1.3471666666666666</v>
      </c>
    </row>
    <row r="11" spans="3:4" x14ac:dyDescent="0.4">
      <c r="C11" s="47" t="s">
        <v>32</v>
      </c>
      <c r="D11" s="48">
        <v>2.7041613928759212</v>
      </c>
    </row>
    <row r="12" spans="3:4" x14ac:dyDescent="0.4">
      <c r="C12" s="47" t="s">
        <v>37</v>
      </c>
      <c r="D12" s="48">
        <v>5.1222139073545767</v>
      </c>
    </row>
    <row r="13" spans="3:4" x14ac:dyDescent="0.4">
      <c r="C13" s="47" t="s">
        <v>13</v>
      </c>
      <c r="D13" s="48">
        <v>2.7251830771068115</v>
      </c>
    </row>
    <row r="14" spans="3:4" x14ac:dyDescent="0.4">
      <c r="C14" s="47" t="s">
        <v>60</v>
      </c>
      <c r="D14" s="48">
        <v>4.9300364589993331</v>
      </c>
    </row>
    <row r="15" spans="3:4" x14ac:dyDescent="0.4">
      <c r="C15" s="47" t="s">
        <v>165</v>
      </c>
      <c r="D15" s="48">
        <v>3.2462089133252094</v>
      </c>
    </row>
    <row r="16" spans="3:4" x14ac:dyDescent="0.4">
      <c r="C16" s="47" t="s">
        <v>138</v>
      </c>
      <c r="D16" s="48">
        <v>1.6646203121775993</v>
      </c>
    </row>
    <row r="17" spans="3:4" x14ac:dyDescent="0.4">
      <c r="C17" s="47" t="s">
        <v>23</v>
      </c>
      <c r="D17" s="48">
        <v>14.736002428359965</v>
      </c>
    </row>
    <row r="18" spans="3:4" x14ac:dyDescent="0.4">
      <c r="C18" s="47" t="s">
        <v>18</v>
      </c>
      <c r="D18" s="48">
        <v>9.3964077389497298</v>
      </c>
    </row>
    <row r="19" spans="3:4" x14ac:dyDescent="0.4">
      <c r="C19" s="47" t="s">
        <v>309</v>
      </c>
      <c r="D19" s="48">
        <v>0.41372383720930223</v>
      </c>
    </row>
    <row r="20" spans="3:4" x14ac:dyDescent="0.4">
      <c r="C20" s="47" t="s">
        <v>603</v>
      </c>
      <c r="D20" s="48">
        <v>99.349122487893126</v>
      </c>
    </row>
    <row r="25" spans="3:4" x14ac:dyDescent="0.4">
      <c r="C25" t="s">
        <v>73</v>
      </c>
      <c r="D25" s="55">
        <f>4779%/100</f>
        <v>0.47789999999999999</v>
      </c>
    </row>
    <row r="26" spans="3:4" x14ac:dyDescent="0.4">
      <c r="C26" t="s">
        <v>27</v>
      </c>
      <c r="D26" s="55">
        <f>4954%/100</f>
        <v>0.49540000000000001</v>
      </c>
    </row>
    <row r="27" spans="3:4" x14ac:dyDescent="0.4">
      <c r="C27" t="s">
        <v>146</v>
      </c>
      <c r="D27" s="55">
        <f>4419%/100</f>
        <v>0.44189999999999996</v>
      </c>
    </row>
    <row r="28" spans="3:4" x14ac:dyDescent="0.4">
      <c r="C28" t="s">
        <v>100</v>
      </c>
      <c r="D28" s="55">
        <f>5310%/100</f>
        <v>0.53100000000000003</v>
      </c>
    </row>
    <row r="29" spans="3:4" x14ac:dyDescent="0.4">
      <c r="C29" t="s">
        <v>605</v>
      </c>
      <c r="D29" s="55">
        <f>4903%/100</f>
        <v>0.49030000000000001</v>
      </c>
    </row>
    <row r="30" spans="3:4" x14ac:dyDescent="0.4">
      <c r="C30" t="s">
        <v>193</v>
      </c>
      <c r="D30" s="55">
        <f>3894%/100</f>
        <v>0.38939999999999997</v>
      </c>
    </row>
    <row r="31" spans="3:4" x14ac:dyDescent="0.4">
      <c r="C31" t="s">
        <v>50</v>
      </c>
      <c r="D31" s="55">
        <f>5139%/100</f>
        <v>0.51390000000000002</v>
      </c>
    </row>
    <row r="32" spans="3:4" x14ac:dyDescent="0.4">
      <c r="C32" t="s">
        <v>56</v>
      </c>
      <c r="D32" s="55">
        <f>4491%/100</f>
        <v>0.44909999999999994</v>
      </c>
    </row>
    <row r="33" spans="3:4" x14ac:dyDescent="0.4">
      <c r="C33" t="s">
        <v>32</v>
      </c>
      <c r="D33" s="55">
        <f>4507%/100</f>
        <v>0.45069999999999999</v>
      </c>
    </row>
    <row r="34" spans="3:4" x14ac:dyDescent="0.4">
      <c r="C34" t="s">
        <v>37</v>
      </c>
      <c r="D34" s="55">
        <f>4269%/100</f>
        <v>0.4269</v>
      </c>
    </row>
    <row r="35" spans="3:4" x14ac:dyDescent="0.4">
      <c r="C35" t="s">
        <v>13</v>
      </c>
      <c r="D35" s="55">
        <f>4542%/100</f>
        <v>0.45419999999999999</v>
      </c>
    </row>
    <row r="36" spans="3:4" x14ac:dyDescent="0.4">
      <c r="C36" t="s">
        <v>60</v>
      </c>
      <c r="D36" s="55">
        <f>4930%/100</f>
        <v>0.49299999999999999</v>
      </c>
    </row>
    <row r="37" spans="3:4" x14ac:dyDescent="0.4">
      <c r="C37" t="s">
        <v>165</v>
      </c>
      <c r="D37" s="55">
        <f>4637%/100</f>
        <v>0.4637</v>
      </c>
    </row>
    <row r="38" spans="3:4" x14ac:dyDescent="0.4">
      <c r="C38" t="s">
        <v>138</v>
      </c>
      <c r="D38" s="55">
        <f>5549%/100</f>
        <v>0.55490000000000006</v>
      </c>
    </row>
    <row r="39" spans="3:4" x14ac:dyDescent="0.4">
      <c r="C39" t="s">
        <v>23</v>
      </c>
      <c r="D39" s="55">
        <f>4465%/100</f>
        <v>0.44650000000000001</v>
      </c>
    </row>
    <row r="40" spans="3:4" x14ac:dyDescent="0.4">
      <c r="C40" t="s">
        <v>18</v>
      </c>
      <c r="D40" s="55">
        <f>5220%/100</f>
        <v>0.52200000000000002</v>
      </c>
    </row>
    <row r="41" spans="3:4" x14ac:dyDescent="0.4">
      <c r="C41" t="s">
        <v>309</v>
      </c>
      <c r="D41" s="55">
        <f>4137%/100</f>
        <v>0.41369999999999996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D6BFB-E04A-4FF8-937A-EAC1DE478A0F}">
  <dimension ref="A1:J270"/>
  <sheetViews>
    <sheetView zoomScaleNormal="100" workbookViewId="0">
      <pane ySplit="1" topLeftCell="A208" activePane="bottomLeft" state="frozen"/>
      <selection activeCell="V1" sqref="V1"/>
      <selection pane="bottomLeft" activeCell="F1" sqref="F1:H1048576"/>
    </sheetView>
  </sheetViews>
  <sheetFormatPr defaultColWidth="8.58203125" defaultRowHeight="13" x14ac:dyDescent="0.3"/>
  <cols>
    <col min="1" max="1" width="4.83203125" style="17" bestFit="1" customWidth="1"/>
    <col min="2" max="2" width="12.75" style="10" customWidth="1"/>
    <col min="3" max="3" width="31.5" style="10" bestFit="1" customWidth="1"/>
    <col min="4" max="4" width="10.08203125" style="10" customWidth="1"/>
    <col min="5" max="5" width="11.58203125" style="10" customWidth="1"/>
    <col min="6" max="6" width="11" style="10" customWidth="1"/>
    <col min="7" max="7" width="14.83203125" style="10" customWidth="1"/>
    <col min="8" max="8" width="14.25" style="10" customWidth="1"/>
    <col min="9" max="9" width="16.08203125" style="10" customWidth="1"/>
    <col min="10" max="10" width="8.33203125" style="10" customWidth="1"/>
    <col min="11" max="16384" width="8.58203125" style="10"/>
  </cols>
  <sheetData>
    <row r="1" spans="1:10" s="4" customFormat="1" ht="39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2" t="s">
        <v>9</v>
      </c>
    </row>
    <row r="2" spans="1:10" ht="14.15" customHeight="1" x14ac:dyDescent="0.3">
      <c r="A2" s="5">
        <v>1</v>
      </c>
      <c r="B2" s="6">
        <v>1000111</v>
      </c>
      <c r="C2" s="6" t="s">
        <v>10</v>
      </c>
      <c r="D2" s="6" t="s">
        <v>11</v>
      </c>
      <c r="E2" s="6" t="s">
        <v>12</v>
      </c>
      <c r="F2" s="6" t="s">
        <v>13</v>
      </c>
      <c r="G2" s="5" t="s">
        <v>13</v>
      </c>
      <c r="H2" s="5" t="s">
        <v>14</v>
      </c>
      <c r="I2" s="5" t="s">
        <v>15</v>
      </c>
      <c r="J2" s="6">
        <v>2100</v>
      </c>
    </row>
    <row r="3" spans="1:10" ht="14.15" customHeight="1" x14ac:dyDescent="0.3">
      <c r="A3" s="5">
        <v>2</v>
      </c>
      <c r="B3" s="6">
        <v>1004759</v>
      </c>
      <c r="C3" s="6" t="s">
        <v>16</v>
      </c>
      <c r="D3" s="6" t="s">
        <v>17</v>
      </c>
      <c r="E3" s="6" t="s">
        <v>12</v>
      </c>
      <c r="F3" s="6" t="s">
        <v>18</v>
      </c>
      <c r="G3" s="6" t="s">
        <v>19</v>
      </c>
      <c r="H3" s="5" t="s">
        <v>20</v>
      </c>
      <c r="I3" s="5" t="s">
        <v>21</v>
      </c>
      <c r="J3" s="6">
        <v>1400</v>
      </c>
    </row>
    <row r="4" spans="1:10" ht="14.15" customHeight="1" x14ac:dyDescent="0.3">
      <c r="A4" s="5">
        <v>3</v>
      </c>
      <c r="B4" s="6">
        <v>1005949</v>
      </c>
      <c r="C4" s="6" t="s">
        <v>22</v>
      </c>
      <c r="D4" s="6" t="s">
        <v>11</v>
      </c>
      <c r="E4" s="6" t="s">
        <v>12</v>
      </c>
      <c r="F4" s="6" t="s">
        <v>23</v>
      </c>
      <c r="G4" s="6" t="s">
        <v>24</v>
      </c>
      <c r="H4" s="5" t="s">
        <v>14</v>
      </c>
      <c r="I4" s="5" t="s">
        <v>25</v>
      </c>
      <c r="J4" s="6">
        <v>1500</v>
      </c>
    </row>
    <row r="5" spans="1:10" ht="14.15" customHeight="1" x14ac:dyDescent="0.3">
      <c r="A5" s="5">
        <v>4</v>
      </c>
      <c r="B5" s="5">
        <v>1007148</v>
      </c>
      <c r="C5" s="5" t="s">
        <v>26</v>
      </c>
      <c r="D5" s="5" t="s">
        <v>17</v>
      </c>
      <c r="E5" s="5" t="s">
        <v>12</v>
      </c>
      <c r="F5" s="5" t="s">
        <v>27</v>
      </c>
      <c r="G5" s="5" t="s">
        <v>28</v>
      </c>
      <c r="H5" s="5" t="s">
        <v>29</v>
      </c>
      <c r="I5" s="5" t="s">
        <v>30</v>
      </c>
      <c r="J5" s="5">
        <v>1800</v>
      </c>
    </row>
    <row r="6" spans="1:10" ht="14.15" customHeight="1" x14ac:dyDescent="0.3">
      <c r="A6" s="5">
        <v>5</v>
      </c>
      <c r="B6" s="6">
        <v>1007362</v>
      </c>
      <c r="C6" s="6" t="s">
        <v>31</v>
      </c>
      <c r="D6" s="6" t="s">
        <v>17</v>
      </c>
      <c r="E6" s="6" t="s">
        <v>12</v>
      </c>
      <c r="F6" s="6" t="s">
        <v>32</v>
      </c>
      <c r="G6" s="6" t="s">
        <v>33</v>
      </c>
      <c r="H6" s="5" t="s">
        <v>34</v>
      </c>
      <c r="I6" s="5" t="s">
        <v>35</v>
      </c>
      <c r="J6" s="6">
        <v>1700</v>
      </c>
    </row>
    <row r="7" spans="1:10" s="12" customFormat="1" ht="14.15" customHeight="1" x14ac:dyDescent="0.3">
      <c r="A7" s="5">
        <v>6</v>
      </c>
      <c r="B7" s="6">
        <v>1006932</v>
      </c>
      <c r="C7" s="6" t="s">
        <v>36</v>
      </c>
      <c r="D7" s="6" t="s">
        <v>17</v>
      </c>
      <c r="E7" s="6" t="s">
        <v>12</v>
      </c>
      <c r="F7" s="6" t="s">
        <v>37</v>
      </c>
      <c r="G7" s="6" t="s">
        <v>38</v>
      </c>
      <c r="H7" s="5" t="s">
        <v>20</v>
      </c>
      <c r="I7" s="5" t="s">
        <v>21</v>
      </c>
      <c r="J7" s="6">
        <v>2000</v>
      </c>
    </row>
    <row r="8" spans="1:10" ht="14.15" customHeight="1" x14ac:dyDescent="0.3">
      <c r="A8" s="5">
        <v>7</v>
      </c>
      <c r="B8" s="6">
        <v>1008048</v>
      </c>
      <c r="C8" s="6" t="s">
        <v>39</v>
      </c>
      <c r="D8" s="6" t="s">
        <v>17</v>
      </c>
      <c r="E8" s="6" t="s">
        <v>12</v>
      </c>
      <c r="F8" s="6" t="s">
        <v>27</v>
      </c>
      <c r="G8" s="6" t="s">
        <v>40</v>
      </c>
      <c r="H8" s="5" t="s">
        <v>20</v>
      </c>
      <c r="I8" s="5" t="s">
        <v>21</v>
      </c>
      <c r="J8" s="6">
        <v>1400</v>
      </c>
    </row>
    <row r="9" spans="1:10" ht="14.15" customHeight="1" x14ac:dyDescent="0.3">
      <c r="A9" s="5">
        <v>8</v>
      </c>
      <c r="B9" s="6">
        <v>1008172</v>
      </c>
      <c r="C9" s="6" t="s">
        <v>41</v>
      </c>
      <c r="D9" s="6" t="s">
        <v>17</v>
      </c>
      <c r="E9" s="6" t="s">
        <v>12</v>
      </c>
      <c r="F9" s="6" t="s">
        <v>18</v>
      </c>
      <c r="G9" s="6" t="s">
        <v>19</v>
      </c>
      <c r="H9" s="5" t="s">
        <v>42</v>
      </c>
      <c r="I9" s="5" t="s">
        <v>43</v>
      </c>
      <c r="J9" s="6">
        <v>1700</v>
      </c>
    </row>
    <row r="10" spans="1:10" s="12" customFormat="1" ht="14.15" customHeight="1" x14ac:dyDescent="0.3">
      <c r="A10" s="13">
        <v>9</v>
      </c>
      <c r="B10" s="13">
        <v>1008473</v>
      </c>
      <c r="C10" s="13" t="s">
        <v>44</v>
      </c>
      <c r="D10" s="13" t="s">
        <v>17</v>
      </c>
      <c r="E10" s="13" t="s">
        <v>45</v>
      </c>
      <c r="F10" s="13" t="s">
        <v>37</v>
      </c>
      <c r="G10" s="13" t="s">
        <v>46</v>
      </c>
      <c r="H10" s="13" t="s">
        <v>20</v>
      </c>
      <c r="I10" s="13" t="s">
        <v>21</v>
      </c>
      <c r="J10" s="13">
        <v>1160</v>
      </c>
    </row>
    <row r="11" spans="1:10" ht="14.15" customHeight="1" x14ac:dyDescent="0.3">
      <c r="A11" s="5">
        <v>10</v>
      </c>
      <c r="B11" s="6">
        <v>1008531</v>
      </c>
      <c r="C11" s="6" t="s">
        <v>47</v>
      </c>
      <c r="D11" s="6" t="s">
        <v>17</v>
      </c>
      <c r="E11" s="6" t="s">
        <v>12</v>
      </c>
      <c r="F11" s="6" t="s">
        <v>32</v>
      </c>
      <c r="G11" s="6" t="s">
        <v>33</v>
      </c>
      <c r="H11" s="5" t="s">
        <v>29</v>
      </c>
      <c r="I11" s="5" t="s">
        <v>48</v>
      </c>
      <c r="J11" s="6">
        <v>1800</v>
      </c>
    </row>
    <row r="12" spans="1:10" ht="14.15" customHeight="1" x14ac:dyDescent="0.3">
      <c r="A12" s="5">
        <v>11</v>
      </c>
      <c r="B12" s="6">
        <v>1009357</v>
      </c>
      <c r="C12" s="6" t="s">
        <v>49</v>
      </c>
      <c r="D12" s="6" t="s">
        <v>17</v>
      </c>
      <c r="E12" s="6" t="s">
        <v>12</v>
      </c>
      <c r="F12" s="6" t="s">
        <v>50</v>
      </c>
      <c r="G12" s="6" t="s">
        <v>51</v>
      </c>
      <c r="H12" s="5" t="s">
        <v>29</v>
      </c>
      <c r="I12" s="5" t="s">
        <v>30</v>
      </c>
      <c r="J12" s="6">
        <v>1800</v>
      </c>
    </row>
    <row r="13" spans="1:10" ht="14.15" customHeight="1" x14ac:dyDescent="0.3">
      <c r="A13" s="5">
        <v>12</v>
      </c>
      <c r="B13" s="6">
        <v>1009451</v>
      </c>
      <c r="C13" s="6" t="s">
        <v>52</v>
      </c>
      <c r="D13" s="6" t="s">
        <v>17</v>
      </c>
      <c r="E13" s="6" t="s">
        <v>12</v>
      </c>
      <c r="F13" s="5" t="s">
        <v>53</v>
      </c>
      <c r="G13" s="6" t="s">
        <v>54</v>
      </c>
      <c r="H13" s="5" t="s">
        <v>29</v>
      </c>
      <c r="I13" s="5" t="s">
        <v>30</v>
      </c>
      <c r="J13" s="6">
        <v>1700</v>
      </c>
    </row>
    <row r="14" spans="1:10" ht="14.15" customHeight="1" x14ac:dyDescent="0.3">
      <c r="A14" s="5">
        <v>13</v>
      </c>
      <c r="B14" s="6">
        <v>1009797</v>
      </c>
      <c r="C14" s="6" t="s">
        <v>55</v>
      </c>
      <c r="D14" s="6" t="s">
        <v>17</v>
      </c>
      <c r="E14" s="6" t="s">
        <v>12</v>
      </c>
      <c r="F14" s="6" t="s">
        <v>56</v>
      </c>
      <c r="G14" s="6" t="s">
        <v>57</v>
      </c>
      <c r="H14" s="5" t="s">
        <v>14</v>
      </c>
      <c r="I14" s="5" t="s">
        <v>14</v>
      </c>
      <c r="J14" s="6">
        <v>2100</v>
      </c>
    </row>
    <row r="15" spans="1:10" ht="14.15" customHeight="1" x14ac:dyDescent="0.3">
      <c r="A15" s="5">
        <v>14</v>
      </c>
      <c r="B15" s="6">
        <v>1009912</v>
      </c>
      <c r="C15" s="6" t="s">
        <v>58</v>
      </c>
      <c r="D15" s="6" t="s">
        <v>17</v>
      </c>
      <c r="E15" s="6" t="s">
        <v>12</v>
      </c>
      <c r="F15" s="6" t="s">
        <v>27</v>
      </c>
      <c r="G15" s="6" t="s">
        <v>28</v>
      </c>
      <c r="H15" s="5" t="s">
        <v>29</v>
      </c>
      <c r="I15" s="5" t="s">
        <v>30</v>
      </c>
      <c r="J15" s="6">
        <v>1800</v>
      </c>
    </row>
    <row r="16" spans="1:10" ht="14.15" customHeight="1" x14ac:dyDescent="0.3">
      <c r="A16" s="5">
        <v>15</v>
      </c>
      <c r="B16" s="6">
        <v>1010368</v>
      </c>
      <c r="C16" s="6" t="s">
        <v>59</v>
      </c>
      <c r="D16" s="6" t="s">
        <v>17</v>
      </c>
      <c r="E16" s="6" t="s">
        <v>12</v>
      </c>
      <c r="F16" s="6" t="s">
        <v>60</v>
      </c>
      <c r="G16" s="6" t="s">
        <v>61</v>
      </c>
      <c r="H16" s="5" t="s">
        <v>62</v>
      </c>
      <c r="I16" s="5" t="s">
        <v>62</v>
      </c>
      <c r="J16" s="6">
        <v>1800</v>
      </c>
    </row>
    <row r="17" spans="1:10" ht="14.15" customHeight="1" x14ac:dyDescent="0.3">
      <c r="A17" s="5">
        <v>16</v>
      </c>
      <c r="B17" s="6">
        <v>1004839</v>
      </c>
      <c r="C17" s="6" t="s">
        <v>63</v>
      </c>
      <c r="D17" s="6" t="s">
        <v>17</v>
      </c>
      <c r="E17" s="6" t="s">
        <v>12</v>
      </c>
      <c r="F17" s="5" t="s">
        <v>53</v>
      </c>
      <c r="G17" s="6" t="s">
        <v>54</v>
      </c>
      <c r="H17" s="5" t="s">
        <v>20</v>
      </c>
      <c r="I17" s="5" t="s">
        <v>21</v>
      </c>
      <c r="J17" s="6">
        <v>1700</v>
      </c>
    </row>
    <row r="18" spans="1:10" ht="14.15" customHeight="1" x14ac:dyDescent="0.3">
      <c r="A18" s="5">
        <v>17</v>
      </c>
      <c r="B18" s="11">
        <v>1010016</v>
      </c>
      <c r="C18" s="11" t="s">
        <v>64</v>
      </c>
      <c r="D18" s="11" t="s">
        <v>17</v>
      </c>
      <c r="E18" s="11" t="s">
        <v>12</v>
      </c>
      <c r="F18" s="11" t="s">
        <v>27</v>
      </c>
      <c r="G18" s="11" t="s">
        <v>28</v>
      </c>
      <c r="H18" s="5" t="s">
        <v>29</v>
      </c>
      <c r="I18" s="5" t="s">
        <v>29</v>
      </c>
      <c r="J18" s="6">
        <v>2100</v>
      </c>
    </row>
    <row r="19" spans="1:10" ht="14.15" customHeight="1" x14ac:dyDescent="0.3">
      <c r="A19" s="5">
        <v>18</v>
      </c>
      <c r="B19" s="6">
        <v>1005201</v>
      </c>
      <c r="C19" s="6" t="s">
        <v>65</v>
      </c>
      <c r="D19" s="6" t="s">
        <v>11</v>
      </c>
      <c r="E19" s="6" t="s">
        <v>12</v>
      </c>
      <c r="F19" s="6" t="s">
        <v>56</v>
      </c>
      <c r="G19" s="6" t="s">
        <v>57</v>
      </c>
      <c r="H19" s="5" t="s">
        <v>14</v>
      </c>
      <c r="I19" s="5" t="s">
        <v>14</v>
      </c>
      <c r="J19" s="6">
        <v>1800</v>
      </c>
    </row>
    <row r="20" spans="1:10" ht="14.15" customHeight="1" x14ac:dyDescent="0.3">
      <c r="A20" s="5">
        <v>19</v>
      </c>
      <c r="B20" s="6">
        <v>1010304</v>
      </c>
      <c r="C20" s="6" t="s">
        <v>66</v>
      </c>
      <c r="D20" s="6" t="s">
        <v>17</v>
      </c>
      <c r="E20" s="6" t="s">
        <v>12</v>
      </c>
      <c r="F20" s="6" t="s">
        <v>23</v>
      </c>
      <c r="G20" s="6" t="s">
        <v>67</v>
      </c>
      <c r="H20" s="5" t="s">
        <v>29</v>
      </c>
      <c r="I20" s="5" t="s">
        <v>68</v>
      </c>
      <c r="J20" s="6">
        <v>1200</v>
      </c>
    </row>
    <row r="21" spans="1:10" s="17" customFormat="1" ht="14.15" customHeight="1" x14ac:dyDescent="0.3">
      <c r="A21" s="5">
        <v>20</v>
      </c>
      <c r="B21" s="6">
        <v>1010769</v>
      </c>
      <c r="C21" s="6" t="s">
        <v>69</v>
      </c>
      <c r="D21" s="6" t="s">
        <v>17</v>
      </c>
      <c r="E21" s="6" t="s">
        <v>12</v>
      </c>
      <c r="F21" s="6" t="s">
        <v>18</v>
      </c>
      <c r="G21" s="6" t="s">
        <v>19</v>
      </c>
      <c r="H21" s="5" t="s">
        <v>29</v>
      </c>
      <c r="I21" s="5" t="s">
        <v>30</v>
      </c>
      <c r="J21" s="6">
        <v>1800</v>
      </c>
    </row>
    <row r="22" spans="1:10" ht="14.15" customHeight="1" x14ac:dyDescent="0.3">
      <c r="A22" s="5">
        <v>21</v>
      </c>
      <c r="B22" s="6">
        <v>1010804</v>
      </c>
      <c r="C22" s="6" t="s">
        <v>70</v>
      </c>
      <c r="D22" s="6" t="s">
        <v>17</v>
      </c>
      <c r="E22" s="6" t="s">
        <v>12</v>
      </c>
      <c r="F22" s="6" t="s">
        <v>60</v>
      </c>
      <c r="G22" s="6" t="s">
        <v>61</v>
      </c>
      <c r="H22" s="5" t="s">
        <v>42</v>
      </c>
      <c r="I22" s="5" t="s">
        <v>71</v>
      </c>
      <c r="J22" s="6">
        <v>1800</v>
      </c>
    </row>
    <row r="23" spans="1:10" ht="14.15" customHeight="1" x14ac:dyDescent="0.3">
      <c r="A23" s="5">
        <v>22</v>
      </c>
      <c r="B23" s="6">
        <v>1000335</v>
      </c>
      <c r="C23" s="6" t="s">
        <v>72</v>
      </c>
      <c r="D23" s="6" t="s">
        <v>17</v>
      </c>
      <c r="E23" s="6" t="s">
        <v>12</v>
      </c>
      <c r="F23" s="6" t="s">
        <v>73</v>
      </c>
      <c r="G23" s="6" t="s">
        <v>74</v>
      </c>
      <c r="H23" s="5" t="s">
        <v>29</v>
      </c>
      <c r="I23" s="5" t="s">
        <v>75</v>
      </c>
      <c r="J23" s="6">
        <v>2100</v>
      </c>
    </row>
    <row r="24" spans="1:10" ht="14.15" customHeight="1" x14ac:dyDescent="0.3">
      <c r="A24" s="5">
        <v>23</v>
      </c>
      <c r="B24" s="6">
        <v>1010136</v>
      </c>
      <c r="C24" s="6" t="s">
        <v>76</v>
      </c>
      <c r="D24" s="6" t="s">
        <v>17</v>
      </c>
      <c r="E24" s="6" t="s">
        <v>12</v>
      </c>
      <c r="F24" s="6" t="s">
        <v>23</v>
      </c>
      <c r="G24" s="6" t="s">
        <v>24</v>
      </c>
      <c r="H24" s="5" t="s">
        <v>29</v>
      </c>
      <c r="I24" s="5" t="s">
        <v>77</v>
      </c>
      <c r="J24" s="6">
        <v>1800</v>
      </c>
    </row>
    <row r="25" spans="1:10" ht="14.15" customHeight="1" x14ac:dyDescent="0.3">
      <c r="A25" s="5">
        <v>24</v>
      </c>
      <c r="B25" s="6">
        <v>1010965</v>
      </c>
      <c r="C25" s="6" t="s">
        <v>78</v>
      </c>
      <c r="D25" s="6" t="s">
        <v>17</v>
      </c>
      <c r="E25" s="6" t="s">
        <v>12</v>
      </c>
      <c r="F25" s="6" t="s">
        <v>60</v>
      </c>
      <c r="G25" s="6" t="s">
        <v>79</v>
      </c>
      <c r="H25" s="5" t="s">
        <v>29</v>
      </c>
      <c r="I25" s="5" t="s">
        <v>29</v>
      </c>
      <c r="J25" s="6">
        <v>2100</v>
      </c>
    </row>
    <row r="26" spans="1:10" ht="14.15" customHeight="1" x14ac:dyDescent="0.3">
      <c r="A26" s="5">
        <v>25</v>
      </c>
      <c r="B26" s="6">
        <v>1010017</v>
      </c>
      <c r="C26" s="6" t="s">
        <v>80</v>
      </c>
      <c r="D26" s="6" t="s">
        <v>17</v>
      </c>
      <c r="E26" s="6" t="s">
        <v>12</v>
      </c>
      <c r="F26" s="6" t="s">
        <v>13</v>
      </c>
      <c r="G26" s="5" t="s">
        <v>13</v>
      </c>
      <c r="H26" s="5" t="s">
        <v>29</v>
      </c>
      <c r="I26" s="5" t="s">
        <v>77</v>
      </c>
      <c r="J26" s="6">
        <v>1700</v>
      </c>
    </row>
    <row r="27" spans="1:10" ht="14.15" customHeight="1" x14ac:dyDescent="0.3">
      <c r="A27" s="5">
        <v>26</v>
      </c>
      <c r="B27" s="6">
        <v>1011045</v>
      </c>
      <c r="C27" s="6" t="s">
        <v>81</v>
      </c>
      <c r="D27" s="6" t="s">
        <v>17</v>
      </c>
      <c r="E27" s="6" t="s">
        <v>12</v>
      </c>
      <c r="F27" s="6" t="s">
        <v>60</v>
      </c>
      <c r="G27" s="6" t="s">
        <v>79</v>
      </c>
      <c r="H27" s="5" t="s">
        <v>29</v>
      </c>
      <c r="I27" s="5" t="s">
        <v>29</v>
      </c>
      <c r="J27" s="6">
        <v>2100</v>
      </c>
    </row>
    <row r="28" spans="1:10" ht="14.15" customHeight="1" x14ac:dyDescent="0.3">
      <c r="A28" s="5">
        <v>27</v>
      </c>
      <c r="B28" s="6">
        <v>1008986</v>
      </c>
      <c r="C28" s="6" t="s">
        <v>82</v>
      </c>
      <c r="D28" s="6" t="s">
        <v>17</v>
      </c>
      <c r="E28" s="6" t="s">
        <v>12</v>
      </c>
      <c r="F28" s="6" t="s">
        <v>27</v>
      </c>
      <c r="G28" s="6" t="s">
        <v>54</v>
      </c>
      <c r="H28" s="5" t="s">
        <v>29</v>
      </c>
      <c r="I28" s="5" t="s">
        <v>29</v>
      </c>
      <c r="J28" s="6">
        <v>1800</v>
      </c>
    </row>
    <row r="29" spans="1:10" ht="14.15" customHeight="1" x14ac:dyDescent="0.3">
      <c r="A29" s="5">
        <v>28</v>
      </c>
      <c r="B29" s="5">
        <v>1005523</v>
      </c>
      <c r="C29" s="5" t="s">
        <v>83</v>
      </c>
      <c r="D29" s="5" t="s">
        <v>17</v>
      </c>
      <c r="E29" s="5" t="s">
        <v>12</v>
      </c>
      <c r="F29" s="5" t="s">
        <v>27</v>
      </c>
      <c r="G29" s="5" t="s">
        <v>28</v>
      </c>
      <c r="H29" s="5" t="s">
        <v>84</v>
      </c>
      <c r="I29" s="5" t="s">
        <v>85</v>
      </c>
      <c r="J29" s="5">
        <v>2100</v>
      </c>
    </row>
    <row r="30" spans="1:10" ht="14.15" customHeight="1" x14ac:dyDescent="0.3">
      <c r="A30" s="5">
        <v>29</v>
      </c>
      <c r="B30" s="6">
        <v>1011187</v>
      </c>
      <c r="C30" s="6" t="s">
        <v>86</v>
      </c>
      <c r="D30" s="6" t="s">
        <v>17</v>
      </c>
      <c r="E30" s="6" t="s">
        <v>12</v>
      </c>
      <c r="F30" s="6" t="s">
        <v>27</v>
      </c>
      <c r="G30" s="6" t="s">
        <v>40</v>
      </c>
      <c r="H30" s="5" t="s">
        <v>87</v>
      </c>
      <c r="I30" s="5" t="s">
        <v>77</v>
      </c>
      <c r="J30" s="6">
        <v>1800</v>
      </c>
    </row>
    <row r="31" spans="1:10" ht="14.15" customHeight="1" x14ac:dyDescent="0.3">
      <c r="A31" s="5">
        <v>30</v>
      </c>
      <c r="B31" s="6">
        <v>1011228</v>
      </c>
      <c r="C31" s="6" t="s">
        <v>88</v>
      </c>
      <c r="D31" s="6" t="s">
        <v>17</v>
      </c>
      <c r="E31" s="6" t="s">
        <v>12</v>
      </c>
      <c r="F31" s="6" t="s">
        <v>23</v>
      </c>
      <c r="G31" s="6" t="s">
        <v>24</v>
      </c>
      <c r="H31" s="5" t="s">
        <v>34</v>
      </c>
      <c r="I31" s="5" t="s">
        <v>89</v>
      </c>
      <c r="J31" s="6">
        <v>2100</v>
      </c>
    </row>
    <row r="32" spans="1:10" ht="14.15" customHeight="1" x14ac:dyDescent="0.3">
      <c r="A32" s="5">
        <v>31</v>
      </c>
      <c r="B32" s="6">
        <v>4000591</v>
      </c>
      <c r="C32" s="6" t="s">
        <v>90</v>
      </c>
      <c r="D32" s="6" t="s">
        <v>17</v>
      </c>
      <c r="E32" s="6" t="s">
        <v>12</v>
      </c>
      <c r="F32" s="6" t="s">
        <v>27</v>
      </c>
      <c r="G32" s="6" t="s">
        <v>28</v>
      </c>
      <c r="H32" s="5" t="s">
        <v>91</v>
      </c>
      <c r="I32" s="5" t="s">
        <v>91</v>
      </c>
      <c r="J32" s="6">
        <v>2500</v>
      </c>
    </row>
    <row r="33" spans="1:10" ht="14.15" customHeight="1" x14ac:dyDescent="0.3">
      <c r="A33" s="5">
        <v>32</v>
      </c>
      <c r="B33" s="6">
        <v>1012249</v>
      </c>
      <c r="C33" s="6" t="s">
        <v>92</v>
      </c>
      <c r="D33" s="6" t="s">
        <v>17</v>
      </c>
      <c r="E33" s="6" t="s">
        <v>12</v>
      </c>
      <c r="F33" s="6" t="s">
        <v>18</v>
      </c>
      <c r="G33" s="6" t="s">
        <v>19</v>
      </c>
      <c r="H33" s="5" t="s">
        <v>84</v>
      </c>
      <c r="I33" s="5" t="s">
        <v>93</v>
      </c>
      <c r="J33" s="6">
        <v>1700</v>
      </c>
    </row>
    <row r="34" spans="1:10" ht="14.15" customHeight="1" x14ac:dyDescent="0.3">
      <c r="A34" s="5">
        <v>33</v>
      </c>
      <c r="B34" s="6">
        <v>1012238</v>
      </c>
      <c r="C34" s="6" t="s">
        <v>94</v>
      </c>
      <c r="D34" s="6" t="s">
        <v>17</v>
      </c>
      <c r="E34" s="6" t="s">
        <v>12</v>
      </c>
      <c r="F34" s="6" t="s">
        <v>73</v>
      </c>
      <c r="G34" s="6" t="s">
        <v>95</v>
      </c>
      <c r="H34" s="5" t="s">
        <v>96</v>
      </c>
      <c r="I34" s="5" t="s">
        <v>97</v>
      </c>
      <c r="J34" s="6">
        <v>1400</v>
      </c>
    </row>
    <row r="35" spans="1:10" ht="14.15" customHeight="1" x14ac:dyDescent="0.3">
      <c r="A35" s="5">
        <v>34</v>
      </c>
      <c r="B35" s="6">
        <v>1013184</v>
      </c>
      <c r="C35" s="6" t="s">
        <v>98</v>
      </c>
      <c r="D35" s="6" t="s">
        <v>17</v>
      </c>
      <c r="E35" s="6" t="s">
        <v>99</v>
      </c>
      <c r="F35" s="6" t="s">
        <v>100</v>
      </c>
      <c r="G35" s="6" t="s">
        <v>101</v>
      </c>
      <c r="H35" s="5" t="s">
        <v>29</v>
      </c>
      <c r="I35" s="5" t="s">
        <v>30</v>
      </c>
      <c r="J35" s="6">
        <v>1700</v>
      </c>
    </row>
    <row r="36" spans="1:10" ht="14.15" customHeight="1" x14ac:dyDescent="0.3">
      <c r="A36" s="5">
        <v>35</v>
      </c>
      <c r="B36" s="6">
        <v>1013294</v>
      </c>
      <c r="C36" s="6" t="s">
        <v>102</v>
      </c>
      <c r="D36" s="6" t="s">
        <v>17</v>
      </c>
      <c r="E36" s="6" t="s">
        <v>12</v>
      </c>
      <c r="F36" s="6" t="s">
        <v>23</v>
      </c>
      <c r="G36" s="6" t="s">
        <v>24</v>
      </c>
      <c r="H36" s="5" t="s">
        <v>34</v>
      </c>
      <c r="I36" s="5" t="s">
        <v>34</v>
      </c>
      <c r="J36" s="6">
        <v>1700</v>
      </c>
    </row>
    <row r="37" spans="1:10" ht="14.15" customHeight="1" x14ac:dyDescent="0.3">
      <c r="A37" s="5">
        <v>36</v>
      </c>
      <c r="B37" s="6">
        <v>4000715</v>
      </c>
      <c r="C37" s="6" t="s">
        <v>103</v>
      </c>
      <c r="D37" s="6" t="s">
        <v>17</v>
      </c>
      <c r="E37" s="6" t="s">
        <v>12</v>
      </c>
      <c r="F37" s="6" t="s">
        <v>60</v>
      </c>
      <c r="G37" s="6" t="s">
        <v>104</v>
      </c>
      <c r="H37" s="5" t="s">
        <v>91</v>
      </c>
      <c r="I37" s="5" t="s">
        <v>91</v>
      </c>
      <c r="J37" s="6">
        <v>2500</v>
      </c>
    </row>
    <row r="38" spans="1:10" ht="14.15" customHeight="1" x14ac:dyDescent="0.3">
      <c r="A38" s="5">
        <v>37</v>
      </c>
      <c r="B38" s="6">
        <v>1011276</v>
      </c>
      <c r="C38" s="6" t="s">
        <v>105</v>
      </c>
      <c r="D38" s="6" t="s">
        <v>17</v>
      </c>
      <c r="E38" s="6" t="s">
        <v>12</v>
      </c>
      <c r="F38" s="6" t="s">
        <v>27</v>
      </c>
      <c r="G38" s="6" t="s">
        <v>40</v>
      </c>
      <c r="H38" s="5" t="s">
        <v>84</v>
      </c>
      <c r="I38" s="5" t="s">
        <v>85</v>
      </c>
      <c r="J38" s="6">
        <v>1800</v>
      </c>
    </row>
    <row r="39" spans="1:10" ht="14.15" customHeight="1" x14ac:dyDescent="0.3">
      <c r="A39" s="5">
        <v>38</v>
      </c>
      <c r="B39" s="6">
        <v>1014143</v>
      </c>
      <c r="C39" s="6" t="s">
        <v>106</v>
      </c>
      <c r="D39" s="6" t="s">
        <v>17</v>
      </c>
      <c r="E39" s="6" t="s">
        <v>99</v>
      </c>
      <c r="F39" s="6" t="s">
        <v>27</v>
      </c>
      <c r="G39" s="6" t="s">
        <v>40</v>
      </c>
      <c r="H39" s="5" t="s">
        <v>84</v>
      </c>
      <c r="I39" s="5" t="s">
        <v>107</v>
      </c>
      <c r="J39" s="6">
        <v>2100</v>
      </c>
    </row>
    <row r="40" spans="1:10" ht="14.15" customHeight="1" x14ac:dyDescent="0.3">
      <c r="A40" s="5">
        <v>39</v>
      </c>
      <c r="B40" s="6">
        <v>1014332</v>
      </c>
      <c r="C40" s="6" t="s">
        <v>108</v>
      </c>
      <c r="D40" s="6" t="s">
        <v>17</v>
      </c>
      <c r="E40" s="6" t="s">
        <v>12</v>
      </c>
      <c r="F40" s="6" t="s">
        <v>18</v>
      </c>
      <c r="G40" s="6" t="s">
        <v>19</v>
      </c>
      <c r="H40" s="5" t="s">
        <v>84</v>
      </c>
      <c r="I40" s="5" t="s">
        <v>109</v>
      </c>
      <c r="J40" s="6">
        <v>1700</v>
      </c>
    </row>
    <row r="41" spans="1:10" ht="14.15" customHeight="1" x14ac:dyDescent="0.3">
      <c r="A41" s="5">
        <v>40</v>
      </c>
      <c r="B41" s="6">
        <v>1009947</v>
      </c>
      <c r="C41" s="18" t="s">
        <v>110</v>
      </c>
      <c r="D41" s="6" t="s">
        <v>17</v>
      </c>
      <c r="E41" s="6" t="s">
        <v>12</v>
      </c>
      <c r="F41" s="6" t="s">
        <v>27</v>
      </c>
      <c r="G41" s="6" t="s">
        <v>40</v>
      </c>
      <c r="H41" s="5" t="s">
        <v>29</v>
      </c>
      <c r="I41" s="5" t="s">
        <v>30</v>
      </c>
      <c r="J41" s="6">
        <v>2100</v>
      </c>
    </row>
    <row r="42" spans="1:10" ht="14.15" customHeight="1" x14ac:dyDescent="0.3">
      <c r="A42" s="5">
        <v>41</v>
      </c>
      <c r="B42" s="6">
        <v>1014345</v>
      </c>
      <c r="C42" s="18" t="s">
        <v>111</v>
      </c>
      <c r="D42" s="6" t="s">
        <v>17</v>
      </c>
      <c r="E42" s="6" t="s">
        <v>12</v>
      </c>
      <c r="F42" s="6" t="s">
        <v>27</v>
      </c>
      <c r="G42" s="6" t="s">
        <v>40</v>
      </c>
      <c r="H42" s="5" t="s">
        <v>20</v>
      </c>
      <c r="I42" s="5" t="s">
        <v>21</v>
      </c>
      <c r="J42" s="6">
        <v>1400</v>
      </c>
    </row>
    <row r="43" spans="1:10" ht="14.15" customHeight="1" x14ac:dyDescent="0.3">
      <c r="A43" s="5">
        <v>42</v>
      </c>
      <c r="B43" s="6">
        <v>1014617</v>
      </c>
      <c r="C43" s="18" t="s">
        <v>112</v>
      </c>
      <c r="D43" s="6" t="s">
        <v>17</v>
      </c>
      <c r="E43" s="6" t="s">
        <v>12</v>
      </c>
      <c r="F43" s="5" t="s">
        <v>53</v>
      </c>
      <c r="G43" s="6" t="s">
        <v>54</v>
      </c>
      <c r="H43" s="5" t="s">
        <v>29</v>
      </c>
      <c r="I43" s="5" t="s">
        <v>30</v>
      </c>
      <c r="J43" s="6">
        <v>1700</v>
      </c>
    </row>
    <row r="44" spans="1:10" ht="14.15" customHeight="1" x14ac:dyDescent="0.3">
      <c r="A44" s="5">
        <v>43</v>
      </c>
      <c r="B44" s="6">
        <v>1014547</v>
      </c>
      <c r="C44" s="19" t="s">
        <v>113</v>
      </c>
      <c r="D44" s="6" t="s">
        <v>17</v>
      </c>
      <c r="E44" s="6" t="s">
        <v>12</v>
      </c>
      <c r="F44" s="6" t="s">
        <v>23</v>
      </c>
      <c r="G44" s="6" t="s">
        <v>114</v>
      </c>
      <c r="H44" s="5" t="s">
        <v>29</v>
      </c>
      <c r="I44" s="5" t="s">
        <v>77</v>
      </c>
      <c r="J44" s="6">
        <v>2100</v>
      </c>
    </row>
    <row r="45" spans="1:10" ht="14.15" customHeight="1" x14ac:dyDescent="0.3">
      <c r="A45" s="5">
        <v>44</v>
      </c>
      <c r="B45" s="6">
        <v>1014869</v>
      </c>
      <c r="C45" s="5" t="s">
        <v>115</v>
      </c>
      <c r="D45" s="6" t="s">
        <v>17</v>
      </c>
      <c r="E45" s="6" t="s">
        <v>12</v>
      </c>
      <c r="F45" s="6" t="s">
        <v>73</v>
      </c>
      <c r="G45" s="6" t="s">
        <v>74</v>
      </c>
      <c r="H45" s="5" t="s">
        <v>29</v>
      </c>
      <c r="I45" s="5" t="s">
        <v>29</v>
      </c>
      <c r="J45" s="6">
        <v>1800</v>
      </c>
    </row>
    <row r="46" spans="1:10" ht="14.15" customHeight="1" x14ac:dyDescent="0.3">
      <c r="A46" s="5">
        <v>45</v>
      </c>
      <c r="B46" s="6">
        <v>1008686</v>
      </c>
      <c r="C46" s="6" t="s">
        <v>116</v>
      </c>
      <c r="D46" s="6" t="s">
        <v>17</v>
      </c>
      <c r="E46" s="6" t="s">
        <v>12</v>
      </c>
      <c r="F46" s="6" t="s">
        <v>18</v>
      </c>
      <c r="G46" s="6" t="s">
        <v>19</v>
      </c>
      <c r="H46" s="5" t="s">
        <v>84</v>
      </c>
      <c r="I46" s="5" t="s">
        <v>85</v>
      </c>
      <c r="J46" s="6">
        <v>1700</v>
      </c>
    </row>
    <row r="47" spans="1:10" ht="14.15" customHeight="1" x14ac:dyDescent="0.3">
      <c r="A47" s="5">
        <v>46</v>
      </c>
      <c r="B47" s="11">
        <v>1014686</v>
      </c>
      <c r="C47" s="11" t="s">
        <v>117</v>
      </c>
      <c r="D47" s="11" t="s">
        <v>17</v>
      </c>
      <c r="E47" s="6" t="s">
        <v>12</v>
      </c>
      <c r="F47" s="11" t="s">
        <v>73</v>
      </c>
      <c r="G47" s="6" t="s">
        <v>74</v>
      </c>
      <c r="H47" s="5" t="s">
        <v>29</v>
      </c>
      <c r="I47" s="5" t="s">
        <v>29</v>
      </c>
      <c r="J47" s="11">
        <v>2100</v>
      </c>
    </row>
    <row r="48" spans="1:10" ht="14.15" customHeight="1" x14ac:dyDescent="0.3">
      <c r="A48" s="5">
        <v>47</v>
      </c>
      <c r="B48" s="11">
        <v>1015273</v>
      </c>
      <c r="C48" s="11" t="s">
        <v>118</v>
      </c>
      <c r="D48" s="11" t="s">
        <v>17</v>
      </c>
      <c r="E48" s="6" t="s">
        <v>12</v>
      </c>
      <c r="F48" s="5" t="s">
        <v>53</v>
      </c>
      <c r="G48" s="6" t="s">
        <v>53</v>
      </c>
      <c r="H48" s="5" t="s">
        <v>29</v>
      </c>
      <c r="I48" s="5" t="s">
        <v>29</v>
      </c>
      <c r="J48" s="11">
        <v>1800</v>
      </c>
    </row>
    <row r="49" spans="1:10" ht="14.15" customHeight="1" x14ac:dyDescent="0.3">
      <c r="A49" s="5">
        <v>48</v>
      </c>
      <c r="B49" s="11">
        <v>1015283</v>
      </c>
      <c r="C49" s="11" t="s">
        <v>119</v>
      </c>
      <c r="D49" s="11" t="s">
        <v>17</v>
      </c>
      <c r="E49" s="6" t="s">
        <v>12</v>
      </c>
      <c r="F49" s="11" t="s">
        <v>23</v>
      </c>
      <c r="G49" s="6" t="s">
        <v>67</v>
      </c>
      <c r="H49" s="5" t="s">
        <v>29</v>
      </c>
      <c r="I49" s="5" t="s">
        <v>29</v>
      </c>
      <c r="J49" s="11">
        <v>1700</v>
      </c>
    </row>
    <row r="50" spans="1:10" ht="14.15" customHeight="1" x14ac:dyDescent="0.3">
      <c r="A50" s="5">
        <v>49</v>
      </c>
      <c r="B50" s="11">
        <v>4000747</v>
      </c>
      <c r="C50" s="11" t="s">
        <v>120</v>
      </c>
      <c r="D50" s="11" t="s">
        <v>17</v>
      </c>
      <c r="E50" s="6" t="s">
        <v>12</v>
      </c>
      <c r="F50" s="11" t="s">
        <v>60</v>
      </c>
      <c r="G50" s="6" t="s">
        <v>104</v>
      </c>
      <c r="H50" s="5" t="s">
        <v>91</v>
      </c>
      <c r="I50" s="5" t="s">
        <v>91</v>
      </c>
      <c r="J50" s="11">
        <v>2500</v>
      </c>
    </row>
    <row r="51" spans="1:10" ht="14.15" customHeight="1" x14ac:dyDescent="0.3">
      <c r="A51" s="5">
        <v>50</v>
      </c>
      <c r="B51" s="11">
        <v>1015368</v>
      </c>
      <c r="C51" s="11" t="s">
        <v>121</v>
      </c>
      <c r="D51" s="11" t="s">
        <v>17</v>
      </c>
      <c r="E51" s="6" t="s">
        <v>12</v>
      </c>
      <c r="F51" s="11" t="s">
        <v>60</v>
      </c>
      <c r="G51" s="11" t="s">
        <v>104</v>
      </c>
      <c r="H51" s="5" t="s">
        <v>91</v>
      </c>
      <c r="I51" s="5" t="s">
        <v>91</v>
      </c>
      <c r="J51" s="11">
        <v>2000</v>
      </c>
    </row>
    <row r="52" spans="1:10" ht="14.15" customHeight="1" x14ac:dyDescent="0.3">
      <c r="A52" s="5">
        <v>51</v>
      </c>
      <c r="B52" s="6">
        <v>1014386</v>
      </c>
      <c r="C52" s="11" t="s">
        <v>122</v>
      </c>
      <c r="D52" s="11" t="s">
        <v>17</v>
      </c>
      <c r="E52" s="6" t="s">
        <v>99</v>
      </c>
      <c r="F52" s="6" t="s">
        <v>23</v>
      </c>
      <c r="G52" s="6" t="s">
        <v>67</v>
      </c>
      <c r="H52" s="5" t="s">
        <v>29</v>
      </c>
      <c r="I52" s="5" t="s">
        <v>30</v>
      </c>
      <c r="J52" s="6">
        <v>1700</v>
      </c>
    </row>
    <row r="53" spans="1:10" ht="14.15" customHeight="1" x14ac:dyDescent="0.3">
      <c r="A53" s="5">
        <v>52</v>
      </c>
      <c r="B53" s="6">
        <v>1015059</v>
      </c>
      <c r="C53" s="11" t="s">
        <v>123</v>
      </c>
      <c r="D53" s="11" t="s">
        <v>17</v>
      </c>
      <c r="E53" s="6" t="s">
        <v>12</v>
      </c>
      <c r="F53" s="6" t="s">
        <v>37</v>
      </c>
      <c r="G53" s="6" t="s">
        <v>124</v>
      </c>
      <c r="H53" s="5" t="s">
        <v>20</v>
      </c>
      <c r="I53" s="5" t="s">
        <v>125</v>
      </c>
      <c r="J53" s="6">
        <v>1400</v>
      </c>
    </row>
    <row r="54" spans="1:10" ht="14.15" customHeight="1" x14ac:dyDescent="0.3">
      <c r="A54" s="5">
        <v>53</v>
      </c>
      <c r="B54" s="6">
        <v>1015565</v>
      </c>
      <c r="C54" s="20" t="s">
        <v>126</v>
      </c>
      <c r="D54" s="11" t="s">
        <v>17</v>
      </c>
      <c r="E54" s="6" t="s">
        <v>12</v>
      </c>
      <c r="F54" s="6" t="s">
        <v>100</v>
      </c>
      <c r="G54" s="5" t="s">
        <v>101</v>
      </c>
      <c r="H54" s="5" t="s">
        <v>34</v>
      </c>
      <c r="I54" s="5" t="s">
        <v>34</v>
      </c>
      <c r="J54" s="6">
        <v>1700</v>
      </c>
    </row>
    <row r="55" spans="1:10" ht="14.15" customHeight="1" x14ac:dyDescent="0.3">
      <c r="A55" s="5">
        <v>54</v>
      </c>
      <c r="B55" s="6">
        <v>1012709</v>
      </c>
      <c r="C55" s="18" t="s">
        <v>127</v>
      </c>
      <c r="D55" s="11" t="s">
        <v>11</v>
      </c>
      <c r="E55" s="6" t="s">
        <v>12</v>
      </c>
      <c r="F55" s="6" t="s">
        <v>23</v>
      </c>
      <c r="G55" s="6" t="s">
        <v>67</v>
      </c>
      <c r="H55" s="5" t="s">
        <v>14</v>
      </c>
      <c r="I55" s="5" t="s">
        <v>14</v>
      </c>
      <c r="J55" s="6">
        <v>1400</v>
      </c>
    </row>
    <row r="56" spans="1:10" ht="14.15" customHeight="1" x14ac:dyDescent="0.3">
      <c r="A56" s="5">
        <v>55</v>
      </c>
      <c r="B56" s="6">
        <v>1015715</v>
      </c>
      <c r="C56" s="18" t="s">
        <v>128</v>
      </c>
      <c r="D56" s="11" t="s">
        <v>17</v>
      </c>
      <c r="E56" s="6" t="s">
        <v>12</v>
      </c>
      <c r="F56" s="6" t="s">
        <v>23</v>
      </c>
      <c r="G56" s="6" t="s">
        <v>24</v>
      </c>
      <c r="H56" s="5" t="s">
        <v>34</v>
      </c>
      <c r="I56" s="5" t="s">
        <v>34</v>
      </c>
      <c r="J56" s="6">
        <v>1700</v>
      </c>
    </row>
    <row r="57" spans="1:10" ht="14.15" customHeight="1" x14ac:dyDescent="0.3">
      <c r="A57" s="5">
        <v>56</v>
      </c>
      <c r="B57" s="6">
        <v>1009804</v>
      </c>
      <c r="C57" s="18" t="s">
        <v>129</v>
      </c>
      <c r="D57" s="11" t="s">
        <v>17</v>
      </c>
      <c r="E57" s="6" t="s">
        <v>12</v>
      </c>
      <c r="F57" s="6" t="s">
        <v>100</v>
      </c>
      <c r="G57" s="5" t="s">
        <v>101</v>
      </c>
      <c r="H57" s="5" t="s">
        <v>130</v>
      </c>
      <c r="I57" s="5" t="s">
        <v>131</v>
      </c>
      <c r="J57" s="6">
        <v>1800</v>
      </c>
    </row>
    <row r="58" spans="1:10" ht="14.15" customHeight="1" x14ac:dyDescent="0.3">
      <c r="A58" s="5">
        <v>57</v>
      </c>
      <c r="B58" s="21">
        <v>1601237</v>
      </c>
      <c r="C58" s="21" t="s">
        <v>132</v>
      </c>
      <c r="D58" s="11" t="s">
        <v>17</v>
      </c>
      <c r="E58" s="11" t="s">
        <v>12</v>
      </c>
      <c r="F58" s="6" t="s">
        <v>23</v>
      </c>
      <c r="G58" s="6" t="s">
        <v>24</v>
      </c>
      <c r="H58" s="5" t="s">
        <v>14</v>
      </c>
      <c r="I58" s="5" t="s">
        <v>133</v>
      </c>
      <c r="J58" s="6">
        <v>1800</v>
      </c>
    </row>
    <row r="59" spans="1:10" ht="14.15" customHeight="1" x14ac:dyDescent="0.3">
      <c r="A59" s="5">
        <v>58</v>
      </c>
      <c r="B59" s="6">
        <v>1015881</v>
      </c>
      <c r="C59" s="8" t="s">
        <v>134</v>
      </c>
      <c r="D59" s="11" t="s">
        <v>17</v>
      </c>
      <c r="E59" s="11" t="s">
        <v>12</v>
      </c>
      <c r="F59" s="6" t="s">
        <v>73</v>
      </c>
      <c r="G59" s="6" t="s">
        <v>74</v>
      </c>
      <c r="H59" s="5" t="s">
        <v>34</v>
      </c>
      <c r="I59" s="5" t="s">
        <v>34</v>
      </c>
      <c r="J59" s="6">
        <v>1700</v>
      </c>
    </row>
    <row r="60" spans="1:10" ht="14.15" customHeight="1" x14ac:dyDescent="0.3">
      <c r="A60" s="5">
        <v>59</v>
      </c>
      <c r="B60" s="8">
        <v>1015978</v>
      </c>
      <c r="C60" s="22" t="s">
        <v>135</v>
      </c>
      <c r="D60" s="11" t="s">
        <v>17</v>
      </c>
      <c r="E60" s="11" t="s">
        <v>12</v>
      </c>
      <c r="F60" s="6" t="s">
        <v>13</v>
      </c>
      <c r="G60" s="5" t="s">
        <v>13</v>
      </c>
      <c r="H60" s="5" t="s">
        <v>34</v>
      </c>
      <c r="I60" s="5" t="s">
        <v>136</v>
      </c>
      <c r="J60" s="6">
        <v>1400</v>
      </c>
    </row>
    <row r="61" spans="1:10" ht="14.15" customHeight="1" x14ac:dyDescent="0.3">
      <c r="A61" s="5">
        <v>60</v>
      </c>
      <c r="B61" s="6">
        <v>1014287</v>
      </c>
      <c r="C61" s="6" t="s">
        <v>137</v>
      </c>
      <c r="D61" s="6" t="s">
        <v>11</v>
      </c>
      <c r="E61" s="6" t="s">
        <v>12</v>
      </c>
      <c r="F61" s="6" t="s">
        <v>138</v>
      </c>
      <c r="G61" s="5" t="s">
        <v>139</v>
      </c>
      <c r="H61" s="5" t="s">
        <v>29</v>
      </c>
      <c r="I61" s="5" t="s">
        <v>30</v>
      </c>
      <c r="J61" s="6">
        <v>1700</v>
      </c>
    </row>
    <row r="62" spans="1:10" ht="14.15" customHeight="1" x14ac:dyDescent="0.3">
      <c r="A62" s="5">
        <v>61</v>
      </c>
      <c r="B62" s="8">
        <v>1016590</v>
      </c>
      <c r="C62" s="6" t="s">
        <v>140</v>
      </c>
      <c r="D62" s="6" t="s">
        <v>17</v>
      </c>
      <c r="E62" s="6" t="s">
        <v>12</v>
      </c>
      <c r="F62" s="6" t="s">
        <v>23</v>
      </c>
      <c r="G62" s="6" t="s">
        <v>114</v>
      </c>
      <c r="H62" s="5" t="s">
        <v>34</v>
      </c>
      <c r="I62" s="5" t="s">
        <v>34</v>
      </c>
      <c r="J62" s="6">
        <v>1700</v>
      </c>
    </row>
    <row r="63" spans="1:10" ht="14.15" customHeight="1" x14ac:dyDescent="0.3">
      <c r="A63" s="5">
        <v>62</v>
      </c>
      <c r="B63" s="6">
        <v>1016581</v>
      </c>
      <c r="C63" s="6" t="s">
        <v>141</v>
      </c>
      <c r="D63" s="6" t="s">
        <v>17</v>
      </c>
      <c r="E63" s="6" t="s">
        <v>12</v>
      </c>
      <c r="F63" s="6" t="s">
        <v>27</v>
      </c>
      <c r="G63" s="6" t="s">
        <v>28</v>
      </c>
      <c r="H63" s="5" t="s">
        <v>29</v>
      </c>
      <c r="I63" s="5" t="s">
        <v>142</v>
      </c>
      <c r="J63" s="6">
        <v>1400</v>
      </c>
    </row>
    <row r="64" spans="1:10" ht="14.15" customHeight="1" x14ac:dyDescent="0.3">
      <c r="A64" s="5">
        <v>63</v>
      </c>
      <c r="B64" s="6">
        <v>1017087</v>
      </c>
      <c r="C64" s="6" t="s">
        <v>143</v>
      </c>
      <c r="D64" s="6" t="s">
        <v>17</v>
      </c>
      <c r="E64" s="6" t="s">
        <v>12</v>
      </c>
      <c r="F64" s="5" t="s">
        <v>73</v>
      </c>
      <c r="G64" s="6" t="s">
        <v>74</v>
      </c>
      <c r="H64" s="5" t="s">
        <v>29</v>
      </c>
      <c r="I64" s="5" t="s">
        <v>144</v>
      </c>
      <c r="J64" s="6">
        <v>1200</v>
      </c>
    </row>
    <row r="65" spans="1:10" ht="14.15" customHeight="1" x14ac:dyDescent="0.3">
      <c r="A65" s="5">
        <v>64</v>
      </c>
      <c r="B65" s="6">
        <v>1017094</v>
      </c>
      <c r="C65" s="6" t="s">
        <v>145</v>
      </c>
      <c r="D65" s="6" t="s">
        <v>17</v>
      </c>
      <c r="E65" s="6" t="s">
        <v>12</v>
      </c>
      <c r="F65" s="6" t="s">
        <v>146</v>
      </c>
      <c r="G65" s="6" t="s">
        <v>147</v>
      </c>
      <c r="H65" s="5" t="s">
        <v>148</v>
      </c>
      <c r="I65" s="5" t="s">
        <v>148</v>
      </c>
      <c r="J65" s="6">
        <v>880</v>
      </c>
    </row>
    <row r="66" spans="1:10" ht="14.15" customHeight="1" x14ac:dyDescent="0.3">
      <c r="A66" s="5">
        <v>65</v>
      </c>
      <c r="B66" s="6">
        <v>1013343</v>
      </c>
      <c r="C66" s="6" t="s">
        <v>149</v>
      </c>
      <c r="D66" s="6" t="s">
        <v>17</v>
      </c>
      <c r="E66" s="6" t="s">
        <v>12</v>
      </c>
      <c r="F66" s="6" t="s">
        <v>27</v>
      </c>
      <c r="G66" s="6" t="s">
        <v>40</v>
      </c>
      <c r="H66" s="5" t="s">
        <v>29</v>
      </c>
      <c r="I66" s="5" t="s">
        <v>30</v>
      </c>
      <c r="J66" s="6">
        <v>1400</v>
      </c>
    </row>
    <row r="67" spans="1:10" ht="14.15" customHeight="1" x14ac:dyDescent="0.3">
      <c r="A67" s="5">
        <v>66</v>
      </c>
      <c r="B67" s="6">
        <v>1016755</v>
      </c>
      <c r="C67" s="6" t="s">
        <v>150</v>
      </c>
      <c r="D67" s="6" t="s">
        <v>17</v>
      </c>
      <c r="E67" s="6" t="s">
        <v>12</v>
      </c>
      <c r="F67" s="6" t="s">
        <v>27</v>
      </c>
      <c r="G67" s="6" t="s">
        <v>28</v>
      </c>
      <c r="H67" s="5" t="s">
        <v>29</v>
      </c>
      <c r="I67" s="5" t="s">
        <v>30</v>
      </c>
      <c r="J67" s="6">
        <v>1200</v>
      </c>
    </row>
    <row r="68" spans="1:10" ht="14.15" customHeight="1" x14ac:dyDescent="0.3">
      <c r="A68" s="5">
        <v>67</v>
      </c>
      <c r="B68" s="6">
        <v>1017125</v>
      </c>
      <c r="C68" s="6" t="s">
        <v>151</v>
      </c>
      <c r="D68" s="6" t="s">
        <v>17</v>
      </c>
      <c r="E68" s="6" t="s">
        <v>12</v>
      </c>
      <c r="F68" s="6" t="s">
        <v>18</v>
      </c>
      <c r="G68" s="6" t="s">
        <v>19</v>
      </c>
      <c r="H68" s="5" t="s">
        <v>29</v>
      </c>
      <c r="I68" s="5" t="s">
        <v>152</v>
      </c>
      <c r="J68" s="6">
        <v>1700</v>
      </c>
    </row>
    <row r="69" spans="1:10" ht="14.15" customHeight="1" x14ac:dyDescent="0.3">
      <c r="A69" s="5">
        <v>68</v>
      </c>
      <c r="B69" s="6">
        <v>1012750</v>
      </c>
      <c r="C69" s="6" t="s">
        <v>153</v>
      </c>
      <c r="D69" s="6" t="s">
        <v>11</v>
      </c>
      <c r="E69" s="6" t="s">
        <v>12</v>
      </c>
      <c r="F69" s="6" t="s">
        <v>100</v>
      </c>
      <c r="G69" s="6" t="s">
        <v>101</v>
      </c>
      <c r="H69" s="5" t="s">
        <v>29</v>
      </c>
      <c r="I69" s="5" t="s">
        <v>30</v>
      </c>
      <c r="J69" s="6">
        <v>1400</v>
      </c>
    </row>
    <row r="70" spans="1:10" s="17" customFormat="1" ht="14.15" customHeight="1" x14ac:dyDescent="0.3">
      <c r="A70" s="5">
        <v>69</v>
      </c>
      <c r="B70" s="6">
        <v>1017179</v>
      </c>
      <c r="C70" s="6" t="s">
        <v>154</v>
      </c>
      <c r="D70" s="5" t="s">
        <v>17</v>
      </c>
      <c r="E70" s="5" t="s">
        <v>12</v>
      </c>
      <c r="F70" s="6" t="s">
        <v>73</v>
      </c>
      <c r="G70" s="6" t="s">
        <v>74</v>
      </c>
      <c r="H70" s="5" t="s">
        <v>29</v>
      </c>
      <c r="I70" s="5" t="s">
        <v>144</v>
      </c>
      <c r="J70" s="6">
        <v>1700</v>
      </c>
    </row>
    <row r="71" spans="1:10" s="17" customFormat="1" ht="14.15" customHeight="1" x14ac:dyDescent="0.3">
      <c r="A71" s="5">
        <v>70</v>
      </c>
      <c r="B71" s="6">
        <v>1016532</v>
      </c>
      <c r="C71" s="6" t="s">
        <v>155</v>
      </c>
      <c r="D71" s="5" t="s">
        <v>17</v>
      </c>
      <c r="E71" s="5" t="s">
        <v>12</v>
      </c>
      <c r="F71" s="6" t="s">
        <v>27</v>
      </c>
      <c r="G71" s="6" t="s">
        <v>40</v>
      </c>
      <c r="H71" s="5" t="s">
        <v>84</v>
      </c>
      <c r="I71" s="5" t="s">
        <v>156</v>
      </c>
      <c r="J71" s="6">
        <v>1700</v>
      </c>
    </row>
    <row r="72" spans="1:10" s="17" customFormat="1" ht="14.15" customHeight="1" x14ac:dyDescent="0.3">
      <c r="A72" s="5">
        <v>71</v>
      </c>
      <c r="B72" s="6">
        <v>1003687</v>
      </c>
      <c r="C72" s="6" t="s">
        <v>157</v>
      </c>
      <c r="D72" s="5" t="s">
        <v>17</v>
      </c>
      <c r="E72" s="5" t="s">
        <v>12</v>
      </c>
      <c r="F72" s="6" t="s">
        <v>27</v>
      </c>
      <c r="G72" s="6" t="s">
        <v>28</v>
      </c>
      <c r="H72" s="5" t="s">
        <v>29</v>
      </c>
      <c r="I72" s="5" t="s">
        <v>158</v>
      </c>
      <c r="J72" s="6">
        <v>2000</v>
      </c>
    </row>
    <row r="73" spans="1:10" s="17" customFormat="1" ht="14.15" customHeight="1" x14ac:dyDescent="0.3">
      <c r="A73" s="5">
        <v>72</v>
      </c>
      <c r="B73" s="5">
        <v>1014344</v>
      </c>
      <c r="C73" s="5" t="s">
        <v>159</v>
      </c>
      <c r="D73" s="5" t="s">
        <v>11</v>
      </c>
      <c r="E73" s="5" t="s">
        <v>99</v>
      </c>
      <c r="F73" s="5" t="s">
        <v>23</v>
      </c>
      <c r="G73" s="6" t="s">
        <v>67</v>
      </c>
      <c r="H73" s="5" t="s">
        <v>14</v>
      </c>
      <c r="I73" s="5" t="s">
        <v>160</v>
      </c>
      <c r="J73" s="5">
        <v>1700</v>
      </c>
    </row>
    <row r="74" spans="1:10" s="17" customFormat="1" ht="14.15" customHeight="1" x14ac:dyDescent="0.3">
      <c r="A74" s="5">
        <v>73</v>
      </c>
      <c r="B74" s="5">
        <v>1601466</v>
      </c>
      <c r="C74" s="5" t="s">
        <v>161</v>
      </c>
      <c r="D74" s="5" t="s">
        <v>17</v>
      </c>
      <c r="E74" s="5" t="s">
        <v>12</v>
      </c>
      <c r="F74" s="5" t="s">
        <v>23</v>
      </c>
      <c r="G74" s="6" t="s">
        <v>24</v>
      </c>
      <c r="H74" s="5" t="s">
        <v>14</v>
      </c>
      <c r="I74" s="5" t="s">
        <v>25</v>
      </c>
      <c r="J74" s="5">
        <v>2200</v>
      </c>
    </row>
    <row r="75" spans="1:10" s="17" customFormat="1" ht="14.15" customHeight="1" x14ac:dyDescent="0.3">
      <c r="A75" s="5">
        <v>74</v>
      </c>
      <c r="B75" s="5">
        <v>1016619</v>
      </c>
      <c r="C75" s="5" t="s">
        <v>162</v>
      </c>
      <c r="D75" s="5" t="s">
        <v>17</v>
      </c>
      <c r="E75" s="5" t="s">
        <v>12</v>
      </c>
      <c r="F75" s="5" t="s">
        <v>27</v>
      </c>
      <c r="G75" s="5" t="s">
        <v>28</v>
      </c>
      <c r="H75" s="5" t="s">
        <v>29</v>
      </c>
      <c r="I75" s="5" t="s">
        <v>30</v>
      </c>
      <c r="J75" s="5">
        <v>1700</v>
      </c>
    </row>
    <row r="76" spans="1:10" s="17" customFormat="1" ht="14.15" customHeight="1" x14ac:dyDescent="0.3">
      <c r="A76" s="5">
        <v>75</v>
      </c>
      <c r="B76" s="5">
        <v>1011907</v>
      </c>
      <c r="C76" s="5" t="s">
        <v>163</v>
      </c>
      <c r="D76" s="5" t="s">
        <v>164</v>
      </c>
      <c r="E76" s="5" t="s">
        <v>12</v>
      </c>
      <c r="F76" s="5" t="s">
        <v>165</v>
      </c>
      <c r="G76" s="5" t="s">
        <v>166</v>
      </c>
      <c r="H76" s="5" t="s">
        <v>84</v>
      </c>
      <c r="I76" s="5" t="s">
        <v>167</v>
      </c>
      <c r="J76" s="5" t="s">
        <v>168</v>
      </c>
    </row>
    <row r="77" spans="1:10" s="17" customFormat="1" ht="14.15" customHeight="1" x14ac:dyDescent="0.3">
      <c r="A77" s="5">
        <v>76</v>
      </c>
      <c r="B77" s="5">
        <v>1600057</v>
      </c>
      <c r="C77" s="5" t="s">
        <v>169</v>
      </c>
      <c r="D77" s="5" t="s">
        <v>11</v>
      </c>
      <c r="E77" s="5" t="s">
        <v>12</v>
      </c>
      <c r="F77" s="5" t="s">
        <v>23</v>
      </c>
      <c r="G77" s="5" t="s">
        <v>67</v>
      </c>
      <c r="H77" s="5" t="s">
        <v>14</v>
      </c>
      <c r="I77" s="5" t="s">
        <v>160</v>
      </c>
      <c r="J77" s="5">
        <v>1800</v>
      </c>
    </row>
    <row r="78" spans="1:10" s="17" customFormat="1" ht="14.15" customHeight="1" x14ac:dyDescent="0.3">
      <c r="A78" s="5">
        <v>77</v>
      </c>
      <c r="B78" s="5">
        <v>1017372</v>
      </c>
      <c r="C78" s="5" t="s">
        <v>170</v>
      </c>
      <c r="D78" s="5" t="s">
        <v>17</v>
      </c>
      <c r="E78" s="5" t="s">
        <v>12</v>
      </c>
      <c r="F78" s="6" t="s">
        <v>18</v>
      </c>
      <c r="G78" s="6" t="s">
        <v>171</v>
      </c>
      <c r="H78" s="5" t="s">
        <v>29</v>
      </c>
      <c r="I78" s="5" t="s">
        <v>29</v>
      </c>
      <c r="J78" s="5">
        <v>1700</v>
      </c>
    </row>
    <row r="79" spans="1:10" s="17" customFormat="1" ht="14.15" customHeight="1" x14ac:dyDescent="0.3">
      <c r="A79" s="5">
        <v>78</v>
      </c>
      <c r="B79" s="5">
        <v>1017347</v>
      </c>
      <c r="C79" s="5" t="s">
        <v>172</v>
      </c>
      <c r="D79" s="5" t="s">
        <v>17</v>
      </c>
      <c r="E79" s="6" t="s">
        <v>12</v>
      </c>
      <c r="F79" s="6" t="s">
        <v>23</v>
      </c>
      <c r="G79" s="6" t="s">
        <v>114</v>
      </c>
      <c r="H79" s="5" t="s">
        <v>34</v>
      </c>
      <c r="I79" s="5" t="s">
        <v>34</v>
      </c>
      <c r="J79" s="5">
        <v>1700</v>
      </c>
    </row>
    <row r="80" spans="1:10" s="17" customFormat="1" ht="14.15" customHeight="1" x14ac:dyDescent="0.3">
      <c r="A80" s="5">
        <v>79</v>
      </c>
      <c r="B80" s="5">
        <v>1017397</v>
      </c>
      <c r="C80" s="5" t="s">
        <v>173</v>
      </c>
      <c r="D80" s="5" t="s">
        <v>17</v>
      </c>
      <c r="E80" s="6" t="s">
        <v>12</v>
      </c>
      <c r="F80" s="5" t="s">
        <v>27</v>
      </c>
      <c r="G80" s="5" t="s">
        <v>28</v>
      </c>
      <c r="H80" s="5" t="s">
        <v>130</v>
      </c>
      <c r="I80" s="5" t="s">
        <v>131</v>
      </c>
      <c r="J80" s="5">
        <v>1800</v>
      </c>
    </row>
    <row r="81" spans="1:10" s="17" customFormat="1" ht="14.15" customHeight="1" x14ac:dyDescent="0.3">
      <c r="A81" s="5">
        <v>80</v>
      </c>
      <c r="B81" s="5">
        <v>1601535</v>
      </c>
      <c r="C81" s="5" t="s">
        <v>174</v>
      </c>
      <c r="D81" s="5" t="s">
        <v>17</v>
      </c>
      <c r="E81" s="5" t="s">
        <v>12</v>
      </c>
      <c r="F81" s="5" t="s">
        <v>23</v>
      </c>
      <c r="G81" s="5" t="s">
        <v>24</v>
      </c>
      <c r="H81" s="5" t="s">
        <v>14</v>
      </c>
      <c r="I81" s="5" t="s">
        <v>25</v>
      </c>
      <c r="J81" s="5">
        <v>2350</v>
      </c>
    </row>
    <row r="82" spans="1:10" s="17" customFormat="1" ht="14.15" customHeight="1" x14ac:dyDescent="0.3">
      <c r="A82" s="5">
        <v>81</v>
      </c>
      <c r="B82" s="5">
        <v>1017492</v>
      </c>
      <c r="C82" s="5" t="s">
        <v>175</v>
      </c>
      <c r="D82" s="5" t="s">
        <v>17</v>
      </c>
      <c r="E82" s="5" t="s">
        <v>12</v>
      </c>
      <c r="F82" s="5" t="s">
        <v>27</v>
      </c>
      <c r="G82" s="6" t="s">
        <v>40</v>
      </c>
      <c r="H82" s="5" t="s">
        <v>29</v>
      </c>
      <c r="I82" s="5" t="s">
        <v>176</v>
      </c>
      <c r="J82" s="5">
        <v>1800</v>
      </c>
    </row>
    <row r="83" spans="1:10" s="17" customFormat="1" ht="14.15" customHeight="1" x14ac:dyDescent="0.3">
      <c r="A83" s="5">
        <v>82</v>
      </c>
      <c r="B83" s="5">
        <v>1016969</v>
      </c>
      <c r="C83" s="5" t="s">
        <v>177</v>
      </c>
      <c r="D83" s="5" t="s">
        <v>17</v>
      </c>
      <c r="E83" s="5" t="s">
        <v>12</v>
      </c>
      <c r="F83" s="5" t="s">
        <v>18</v>
      </c>
      <c r="G83" s="6" t="s">
        <v>178</v>
      </c>
      <c r="H83" s="5" t="s">
        <v>14</v>
      </c>
      <c r="I83" s="5" t="s">
        <v>14</v>
      </c>
      <c r="J83" s="5">
        <v>1800</v>
      </c>
    </row>
    <row r="84" spans="1:10" s="17" customFormat="1" ht="14.15" customHeight="1" x14ac:dyDescent="0.3">
      <c r="A84" s="5">
        <v>83</v>
      </c>
      <c r="B84" s="5">
        <v>1015753</v>
      </c>
      <c r="C84" s="15" t="s">
        <v>179</v>
      </c>
      <c r="D84" s="5" t="s">
        <v>164</v>
      </c>
      <c r="E84" s="5" t="s">
        <v>12</v>
      </c>
      <c r="F84" s="5" t="s">
        <v>165</v>
      </c>
      <c r="G84" s="5" t="s">
        <v>166</v>
      </c>
      <c r="H84" s="5" t="s">
        <v>29</v>
      </c>
      <c r="I84" s="5" t="s">
        <v>29</v>
      </c>
      <c r="J84" s="5" t="s">
        <v>168</v>
      </c>
    </row>
    <row r="85" spans="1:10" s="17" customFormat="1" ht="14.15" customHeight="1" x14ac:dyDescent="0.3">
      <c r="A85" s="5">
        <v>84</v>
      </c>
      <c r="B85" s="8">
        <v>1016893</v>
      </c>
      <c r="C85" s="5" t="s">
        <v>180</v>
      </c>
      <c r="D85" s="5" t="s">
        <v>17</v>
      </c>
      <c r="E85" s="5" t="s">
        <v>12</v>
      </c>
      <c r="F85" s="5" t="s">
        <v>27</v>
      </c>
      <c r="G85" s="5" t="s">
        <v>28</v>
      </c>
      <c r="H85" s="5" t="s">
        <v>29</v>
      </c>
      <c r="I85" s="5" t="s">
        <v>181</v>
      </c>
      <c r="J85" s="5">
        <v>1200</v>
      </c>
    </row>
    <row r="86" spans="1:10" s="17" customFormat="1" ht="14.15" customHeight="1" x14ac:dyDescent="0.3">
      <c r="A86" s="5">
        <v>85</v>
      </c>
      <c r="B86" s="5">
        <v>1016671</v>
      </c>
      <c r="C86" s="5" t="s">
        <v>182</v>
      </c>
      <c r="D86" s="5" t="s">
        <v>17</v>
      </c>
      <c r="E86" s="5" t="s">
        <v>12</v>
      </c>
      <c r="F86" s="5" t="s">
        <v>60</v>
      </c>
      <c r="G86" s="6" t="s">
        <v>183</v>
      </c>
      <c r="H86" s="5" t="s">
        <v>29</v>
      </c>
      <c r="I86" s="5" t="s">
        <v>77</v>
      </c>
      <c r="J86" s="5">
        <v>1200</v>
      </c>
    </row>
    <row r="87" spans="1:10" s="17" customFormat="1" ht="14.15" customHeight="1" x14ac:dyDescent="0.3">
      <c r="A87" s="5">
        <v>86</v>
      </c>
      <c r="B87" s="5">
        <v>1017512</v>
      </c>
      <c r="C87" s="5" t="s">
        <v>184</v>
      </c>
      <c r="D87" s="5" t="s">
        <v>17</v>
      </c>
      <c r="E87" s="5" t="s">
        <v>12</v>
      </c>
      <c r="F87" s="6" t="s">
        <v>60</v>
      </c>
      <c r="G87" s="6" t="s">
        <v>104</v>
      </c>
      <c r="H87" s="5" t="s">
        <v>29</v>
      </c>
      <c r="I87" s="5" t="s">
        <v>185</v>
      </c>
      <c r="J87" s="5">
        <v>1800</v>
      </c>
    </row>
    <row r="88" spans="1:10" s="17" customFormat="1" ht="14.15" customHeight="1" x14ac:dyDescent="0.3">
      <c r="A88" s="5">
        <v>87</v>
      </c>
      <c r="B88" s="5">
        <v>1004516</v>
      </c>
      <c r="C88" s="5" t="s">
        <v>186</v>
      </c>
      <c r="D88" s="5" t="s">
        <v>11</v>
      </c>
      <c r="E88" s="5" t="s">
        <v>12</v>
      </c>
      <c r="F88" s="6" t="s">
        <v>56</v>
      </c>
      <c r="G88" s="6" t="s">
        <v>57</v>
      </c>
      <c r="H88" s="5" t="s">
        <v>14</v>
      </c>
      <c r="I88" s="5" t="s">
        <v>187</v>
      </c>
      <c r="J88" s="5">
        <v>1800</v>
      </c>
    </row>
    <row r="89" spans="1:10" ht="14.15" customHeight="1" x14ac:dyDescent="0.3">
      <c r="A89" s="5">
        <v>88</v>
      </c>
      <c r="B89" s="5">
        <v>1015066</v>
      </c>
      <c r="C89" s="5" t="s">
        <v>188</v>
      </c>
      <c r="D89" s="5" t="s">
        <v>17</v>
      </c>
      <c r="E89" s="5" t="s">
        <v>12</v>
      </c>
      <c r="F89" s="6" t="s">
        <v>27</v>
      </c>
      <c r="G89" s="6" t="s">
        <v>40</v>
      </c>
      <c r="H89" s="5" t="s">
        <v>29</v>
      </c>
      <c r="I89" s="5" t="s">
        <v>189</v>
      </c>
      <c r="J89" s="5">
        <v>1200</v>
      </c>
    </row>
    <row r="90" spans="1:10" s="17" customFormat="1" ht="14.15" customHeight="1" x14ac:dyDescent="0.3">
      <c r="A90" s="5">
        <v>89</v>
      </c>
      <c r="B90" s="5">
        <v>1013812</v>
      </c>
      <c r="C90" s="5" t="s">
        <v>190</v>
      </c>
      <c r="D90" s="5" t="s">
        <v>17</v>
      </c>
      <c r="E90" s="5" t="s">
        <v>12</v>
      </c>
      <c r="F90" s="6" t="s">
        <v>13</v>
      </c>
      <c r="G90" s="5" t="s">
        <v>13</v>
      </c>
      <c r="H90" s="5" t="s">
        <v>14</v>
      </c>
      <c r="I90" s="5" t="s">
        <v>191</v>
      </c>
      <c r="J90" s="5">
        <v>1400</v>
      </c>
    </row>
    <row r="91" spans="1:10" s="17" customFormat="1" ht="14.15" customHeight="1" x14ac:dyDescent="0.3">
      <c r="A91" s="5">
        <v>90</v>
      </c>
      <c r="B91" s="5">
        <v>1014208</v>
      </c>
      <c r="C91" s="5" t="s">
        <v>192</v>
      </c>
      <c r="D91" s="5" t="s">
        <v>17</v>
      </c>
      <c r="E91" s="5" t="s">
        <v>12</v>
      </c>
      <c r="F91" s="6" t="s">
        <v>193</v>
      </c>
      <c r="G91" s="6" t="s">
        <v>193</v>
      </c>
      <c r="H91" s="5" t="s">
        <v>29</v>
      </c>
      <c r="I91" s="5" t="s">
        <v>189</v>
      </c>
      <c r="J91" s="5">
        <v>1700</v>
      </c>
    </row>
    <row r="92" spans="1:10" s="17" customFormat="1" ht="14.15" customHeight="1" x14ac:dyDescent="0.3">
      <c r="A92" s="5">
        <v>91</v>
      </c>
      <c r="B92" s="5">
        <v>1015478</v>
      </c>
      <c r="C92" s="5" t="s">
        <v>194</v>
      </c>
      <c r="D92" s="5" t="s">
        <v>17</v>
      </c>
      <c r="E92" s="5" t="s">
        <v>12</v>
      </c>
      <c r="F92" s="6" t="s">
        <v>37</v>
      </c>
      <c r="G92" s="6" t="s">
        <v>195</v>
      </c>
      <c r="H92" s="5" t="s">
        <v>29</v>
      </c>
      <c r="I92" s="5" t="s">
        <v>196</v>
      </c>
      <c r="J92" s="5">
        <v>1300</v>
      </c>
    </row>
    <row r="93" spans="1:10" s="17" customFormat="1" ht="14.15" customHeight="1" x14ac:dyDescent="0.3">
      <c r="A93" s="5">
        <v>92</v>
      </c>
      <c r="B93" s="5">
        <v>1016683</v>
      </c>
      <c r="C93" s="5" t="s">
        <v>197</v>
      </c>
      <c r="D93" s="5" t="s">
        <v>164</v>
      </c>
      <c r="E93" s="5" t="s">
        <v>12</v>
      </c>
      <c r="F93" s="5" t="s">
        <v>165</v>
      </c>
      <c r="G93" s="5" t="s">
        <v>166</v>
      </c>
      <c r="H93" s="5" t="s">
        <v>29</v>
      </c>
      <c r="I93" s="5" t="s">
        <v>29</v>
      </c>
      <c r="J93" s="5" t="s">
        <v>168</v>
      </c>
    </row>
    <row r="94" spans="1:10" s="17" customFormat="1" ht="14.15" customHeight="1" x14ac:dyDescent="0.3">
      <c r="A94" s="5">
        <v>93</v>
      </c>
      <c r="B94" s="5">
        <v>1100011</v>
      </c>
      <c r="C94" s="5" t="s">
        <v>198</v>
      </c>
      <c r="D94" s="5" t="s">
        <v>17</v>
      </c>
      <c r="E94" s="5" t="s">
        <v>12</v>
      </c>
      <c r="F94" s="5" t="s">
        <v>53</v>
      </c>
      <c r="G94" s="5" t="s">
        <v>53</v>
      </c>
      <c r="H94" s="5" t="s">
        <v>130</v>
      </c>
      <c r="I94" s="5" t="s">
        <v>199</v>
      </c>
      <c r="J94" s="5">
        <v>1700</v>
      </c>
    </row>
    <row r="95" spans="1:10" s="17" customFormat="1" ht="14.15" customHeight="1" x14ac:dyDescent="0.3">
      <c r="A95" s="5">
        <v>94</v>
      </c>
      <c r="B95" s="5">
        <v>1601630</v>
      </c>
      <c r="C95" s="5" t="s">
        <v>200</v>
      </c>
      <c r="D95" s="5" t="s">
        <v>17</v>
      </c>
      <c r="E95" s="5" t="s">
        <v>12</v>
      </c>
      <c r="F95" s="6" t="s">
        <v>23</v>
      </c>
      <c r="G95" s="6" t="s">
        <v>114</v>
      </c>
      <c r="H95" s="5" t="s">
        <v>14</v>
      </c>
      <c r="I95" s="5" t="s">
        <v>25</v>
      </c>
      <c r="J95" s="23">
        <v>2350</v>
      </c>
    </row>
    <row r="96" spans="1:10" s="17" customFormat="1" ht="14.15" customHeight="1" x14ac:dyDescent="0.3">
      <c r="A96" s="5">
        <v>95</v>
      </c>
      <c r="B96" s="5">
        <v>1017777</v>
      </c>
      <c r="C96" s="24" t="s">
        <v>201</v>
      </c>
      <c r="D96" s="5" t="s">
        <v>17</v>
      </c>
      <c r="E96" s="5" t="s">
        <v>12</v>
      </c>
      <c r="F96" s="6" t="s">
        <v>27</v>
      </c>
      <c r="G96" s="6" t="s">
        <v>28</v>
      </c>
      <c r="H96" s="5" t="s">
        <v>14</v>
      </c>
      <c r="I96" s="5" t="s">
        <v>191</v>
      </c>
      <c r="J96" s="23">
        <v>2100</v>
      </c>
    </row>
    <row r="97" spans="1:10" s="17" customFormat="1" ht="14.15" customHeight="1" x14ac:dyDescent="0.3">
      <c r="A97" s="5">
        <v>96</v>
      </c>
      <c r="B97" s="5">
        <v>1601627</v>
      </c>
      <c r="C97" s="15" t="s">
        <v>202</v>
      </c>
      <c r="D97" s="5" t="s">
        <v>164</v>
      </c>
      <c r="E97" s="5" t="s">
        <v>12</v>
      </c>
      <c r="F97" s="5" t="s">
        <v>165</v>
      </c>
      <c r="G97" s="5" t="s">
        <v>166</v>
      </c>
      <c r="H97" s="11" t="s">
        <v>14</v>
      </c>
      <c r="I97" s="15" t="s">
        <v>191</v>
      </c>
      <c r="J97" s="5" t="s">
        <v>168</v>
      </c>
    </row>
    <row r="98" spans="1:10" s="17" customFormat="1" ht="14.15" customHeight="1" x14ac:dyDescent="0.3">
      <c r="A98" s="5">
        <v>97</v>
      </c>
      <c r="B98" s="5">
        <v>1012589</v>
      </c>
      <c r="C98" s="15" t="s">
        <v>203</v>
      </c>
      <c r="D98" s="5" t="s">
        <v>164</v>
      </c>
      <c r="E98" s="5" t="s">
        <v>12</v>
      </c>
      <c r="F98" s="5" t="s">
        <v>165</v>
      </c>
      <c r="G98" s="5" t="s">
        <v>166</v>
      </c>
      <c r="H98" s="11" t="s">
        <v>14</v>
      </c>
      <c r="I98" s="15" t="s">
        <v>204</v>
      </c>
      <c r="J98" s="5" t="s">
        <v>168</v>
      </c>
    </row>
    <row r="99" spans="1:10" s="17" customFormat="1" ht="14.15" customHeight="1" x14ac:dyDescent="0.3">
      <c r="A99" s="5">
        <v>98</v>
      </c>
      <c r="B99" s="6">
        <v>1100076</v>
      </c>
      <c r="C99" s="24" t="s">
        <v>205</v>
      </c>
      <c r="D99" s="5" t="s">
        <v>17</v>
      </c>
      <c r="E99" s="5" t="s">
        <v>12</v>
      </c>
      <c r="F99" s="6" t="s">
        <v>100</v>
      </c>
      <c r="G99" s="5" t="s">
        <v>101</v>
      </c>
      <c r="H99" s="5" t="s">
        <v>130</v>
      </c>
      <c r="I99" s="5" t="s">
        <v>206</v>
      </c>
      <c r="J99" s="23">
        <v>2100</v>
      </c>
    </row>
    <row r="100" spans="1:10" s="17" customFormat="1" ht="14.15" customHeight="1" x14ac:dyDescent="0.3">
      <c r="A100" s="5">
        <v>99</v>
      </c>
      <c r="B100" s="6">
        <v>1100051</v>
      </c>
      <c r="C100" s="24" t="s">
        <v>207</v>
      </c>
      <c r="D100" s="5" t="s">
        <v>17</v>
      </c>
      <c r="E100" s="5" t="s">
        <v>12</v>
      </c>
      <c r="F100" s="6" t="s">
        <v>13</v>
      </c>
      <c r="G100" s="5" t="s">
        <v>13</v>
      </c>
      <c r="H100" s="5" t="s">
        <v>14</v>
      </c>
      <c r="I100" s="5" t="s">
        <v>14</v>
      </c>
      <c r="J100" s="23">
        <v>1700</v>
      </c>
    </row>
    <row r="101" spans="1:10" s="17" customFormat="1" ht="14.15" customHeight="1" x14ac:dyDescent="0.3">
      <c r="A101" s="5">
        <v>100</v>
      </c>
      <c r="B101" s="6">
        <v>1006133</v>
      </c>
      <c r="C101" s="24" t="s">
        <v>208</v>
      </c>
      <c r="D101" s="5" t="s">
        <v>17</v>
      </c>
      <c r="E101" s="5" t="s">
        <v>12</v>
      </c>
      <c r="F101" s="6" t="s">
        <v>37</v>
      </c>
      <c r="G101" s="6" t="s">
        <v>195</v>
      </c>
      <c r="H101" s="5" t="s">
        <v>20</v>
      </c>
      <c r="I101" s="5" t="s">
        <v>20</v>
      </c>
      <c r="J101" s="23">
        <v>1800</v>
      </c>
    </row>
    <row r="102" spans="1:10" s="17" customFormat="1" ht="14.15" customHeight="1" x14ac:dyDescent="0.3">
      <c r="A102" s="5">
        <v>101</v>
      </c>
      <c r="B102" s="23">
        <v>1601656</v>
      </c>
      <c r="C102" s="24" t="s">
        <v>209</v>
      </c>
      <c r="D102" s="5" t="s">
        <v>11</v>
      </c>
      <c r="E102" s="5" t="s">
        <v>12</v>
      </c>
      <c r="F102" s="6" t="s">
        <v>23</v>
      </c>
      <c r="G102" s="6" t="s">
        <v>114</v>
      </c>
      <c r="H102" s="5" t="s">
        <v>14</v>
      </c>
      <c r="I102" s="5" t="s">
        <v>25</v>
      </c>
      <c r="J102" s="23">
        <v>2100</v>
      </c>
    </row>
    <row r="103" spans="1:10" s="12" customFormat="1" ht="14.15" customHeight="1" x14ac:dyDescent="0.3">
      <c r="A103" s="13">
        <v>102</v>
      </c>
      <c r="B103" s="13">
        <v>1601660</v>
      </c>
      <c r="C103" s="14" t="s">
        <v>210</v>
      </c>
      <c r="D103" s="13" t="s">
        <v>11</v>
      </c>
      <c r="E103" s="13" t="s">
        <v>45</v>
      </c>
      <c r="F103" s="13" t="s">
        <v>23</v>
      </c>
      <c r="G103" s="13" t="s">
        <v>114</v>
      </c>
      <c r="H103" s="13" t="s">
        <v>14</v>
      </c>
      <c r="I103" s="13" t="s">
        <v>25</v>
      </c>
      <c r="J103" s="14">
        <v>1700</v>
      </c>
    </row>
    <row r="104" spans="1:10" s="17" customFormat="1" ht="14.15" customHeight="1" x14ac:dyDescent="0.3">
      <c r="A104" s="5">
        <v>103</v>
      </c>
      <c r="B104" s="6">
        <v>1100163</v>
      </c>
      <c r="C104" s="24" t="s">
        <v>211</v>
      </c>
      <c r="D104" s="5" t="s">
        <v>17</v>
      </c>
      <c r="E104" s="5" t="s">
        <v>12</v>
      </c>
      <c r="F104" s="6" t="s">
        <v>100</v>
      </c>
      <c r="G104" s="5" t="s">
        <v>101</v>
      </c>
      <c r="H104" s="5" t="s">
        <v>130</v>
      </c>
      <c r="I104" s="5" t="s">
        <v>206</v>
      </c>
      <c r="J104" s="23">
        <v>2100</v>
      </c>
    </row>
    <row r="105" spans="1:10" s="17" customFormat="1" ht="14.15" customHeight="1" x14ac:dyDescent="0.3">
      <c r="A105" s="5">
        <v>104</v>
      </c>
      <c r="B105" s="6">
        <v>1100125</v>
      </c>
      <c r="C105" s="24" t="s">
        <v>212</v>
      </c>
      <c r="D105" s="5" t="s">
        <v>17</v>
      </c>
      <c r="E105" s="5" t="s">
        <v>12</v>
      </c>
      <c r="F105" s="5" t="s">
        <v>53</v>
      </c>
      <c r="G105" s="5" t="s">
        <v>53</v>
      </c>
      <c r="H105" s="5" t="s">
        <v>130</v>
      </c>
      <c r="I105" s="5" t="s">
        <v>199</v>
      </c>
      <c r="J105" s="23">
        <v>1800</v>
      </c>
    </row>
    <row r="106" spans="1:10" s="17" customFormat="1" ht="14.15" customHeight="1" x14ac:dyDescent="0.3">
      <c r="A106" s="5">
        <v>105</v>
      </c>
      <c r="B106" s="6">
        <v>1100167</v>
      </c>
      <c r="C106" s="24" t="s">
        <v>213</v>
      </c>
      <c r="D106" s="5" t="s">
        <v>17</v>
      </c>
      <c r="E106" s="5" t="s">
        <v>12</v>
      </c>
      <c r="F106" s="5" t="s">
        <v>27</v>
      </c>
      <c r="G106" s="5" t="s">
        <v>28</v>
      </c>
      <c r="H106" s="5" t="s">
        <v>130</v>
      </c>
      <c r="I106" s="5" t="s">
        <v>131</v>
      </c>
      <c r="J106" s="23">
        <v>1400</v>
      </c>
    </row>
    <row r="107" spans="1:10" s="17" customFormat="1" ht="14.15" customHeight="1" x14ac:dyDescent="0.3">
      <c r="A107" s="5">
        <v>106</v>
      </c>
      <c r="B107" s="6">
        <v>1013003</v>
      </c>
      <c r="C107" s="24" t="s">
        <v>214</v>
      </c>
      <c r="D107" s="5" t="s">
        <v>17</v>
      </c>
      <c r="E107" s="5" t="s">
        <v>12</v>
      </c>
      <c r="F107" s="5" t="s">
        <v>165</v>
      </c>
      <c r="G107" s="5" t="s">
        <v>166</v>
      </c>
      <c r="H107" s="5" t="s">
        <v>84</v>
      </c>
      <c r="I107" s="5" t="s">
        <v>84</v>
      </c>
      <c r="J107" s="23">
        <v>1700</v>
      </c>
    </row>
    <row r="108" spans="1:10" s="17" customFormat="1" ht="14.15" customHeight="1" x14ac:dyDescent="0.3">
      <c r="A108" s="5">
        <v>107</v>
      </c>
      <c r="B108" s="6">
        <v>1017706</v>
      </c>
      <c r="C108" s="6" t="s">
        <v>215</v>
      </c>
      <c r="D108" s="5" t="s">
        <v>17</v>
      </c>
      <c r="E108" s="5" t="s">
        <v>12</v>
      </c>
      <c r="F108" s="6" t="s">
        <v>60</v>
      </c>
      <c r="G108" s="6" t="s">
        <v>79</v>
      </c>
      <c r="H108" s="6" t="s">
        <v>29</v>
      </c>
      <c r="I108" s="5" t="s">
        <v>29</v>
      </c>
      <c r="J108" s="6">
        <v>1700</v>
      </c>
    </row>
    <row r="109" spans="1:10" s="17" customFormat="1" ht="14.15" customHeight="1" x14ac:dyDescent="0.3">
      <c r="A109" s="5">
        <v>108</v>
      </c>
      <c r="B109" s="6">
        <v>1017714</v>
      </c>
      <c r="C109" s="24" t="s">
        <v>216</v>
      </c>
      <c r="D109" s="5" t="s">
        <v>17</v>
      </c>
      <c r="E109" s="5" t="s">
        <v>12</v>
      </c>
      <c r="F109" s="5" t="s">
        <v>37</v>
      </c>
      <c r="G109" s="5" t="s">
        <v>46</v>
      </c>
      <c r="H109" s="5" t="s">
        <v>29</v>
      </c>
      <c r="I109" s="5" t="s">
        <v>29</v>
      </c>
      <c r="J109" s="23">
        <v>1300</v>
      </c>
    </row>
    <row r="110" spans="1:10" s="17" customFormat="1" ht="14.15" customHeight="1" x14ac:dyDescent="0.3">
      <c r="A110" s="5">
        <v>109</v>
      </c>
      <c r="B110" s="6">
        <v>1100284</v>
      </c>
      <c r="C110" s="24" t="s">
        <v>217</v>
      </c>
      <c r="D110" s="5" t="s">
        <v>17</v>
      </c>
      <c r="E110" s="5" t="s">
        <v>12</v>
      </c>
      <c r="F110" s="5" t="s">
        <v>37</v>
      </c>
      <c r="G110" s="5" t="s">
        <v>46</v>
      </c>
      <c r="H110" s="5" t="s">
        <v>218</v>
      </c>
      <c r="I110" s="5" t="s">
        <v>219</v>
      </c>
      <c r="J110" s="23">
        <v>1400</v>
      </c>
    </row>
    <row r="111" spans="1:10" s="17" customFormat="1" ht="14.15" customHeight="1" x14ac:dyDescent="0.3">
      <c r="A111" s="5">
        <v>110</v>
      </c>
      <c r="B111" s="6">
        <v>1017790</v>
      </c>
      <c r="C111" s="24" t="s">
        <v>220</v>
      </c>
      <c r="D111" s="5" t="s">
        <v>17</v>
      </c>
      <c r="E111" s="5" t="s">
        <v>12</v>
      </c>
      <c r="F111" s="5" t="s">
        <v>27</v>
      </c>
      <c r="G111" s="5" t="s">
        <v>28</v>
      </c>
      <c r="H111" s="5" t="s">
        <v>130</v>
      </c>
      <c r="I111" s="5" t="s">
        <v>221</v>
      </c>
      <c r="J111" s="23">
        <v>1800</v>
      </c>
    </row>
    <row r="112" spans="1:10" s="17" customFormat="1" ht="14.15" customHeight="1" x14ac:dyDescent="0.3">
      <c r="A112" s="5">
        <v>111</v>
      </c>
      <c r="B112" s="6">
        <v>1017232</v>
      </c>
      <c r="C112" s="24" t="s">
        <v>222</v>
      </c>
      <c r="D112" s="5" t="s">
        <v>17</v>
      </c>
      <c r="E112" s="5" t="s">
        <v>12</v>
      </c>
      <c r="F112" s="5" t="s">
        <v>23</v>
      </c>
      <c r="G112" s="6" t="s">
        <v>114</v>
      </c>
      <c r="H112" s="5" t="s">
        <v>29</v>
      </c>
      <c r="I112" s="6" t="s">
        <v>223</v>
      </c>
      <c r="J112" s="23">
        <v>1700</v>
      </c>
    </row>
    <row r="113" spans="1:10" s="17" customFormat="1" ht="14.15" customHeight="1" x14ac:dyDescent="0.3">
      <c r="A113" s="5">
        <v>112</v>
      </c>
      <c r="B113" s="6">
        <v>1100287</v>
      </c>
      <c r="C113" s="24" t="s">
        <v>224</v>
      </c>
      <c r="D113" s="5" t="s">
        <v>17</v>
      </c>
      <c r="E113" s="5" t="s">
        <v>12</v>
      </c>
      <c r="F113" s="5" t="s">
        <v>37</v>
      </c>
      <c r="G113" s="5" t="s">
        <v>46</v>
      </c>
      <c r="H113" s="5" t="s">
        <v>218</v>
      </c>
      <c r="I113" s="5" t="s">
        <v>219</v>
      </c>
      <c r="J113" s="23">
        <v>1400</v>
      </c>
    </row>
    <row r="114" spans="1:10" s="17" customFormat="1" ht="14.15" customHeight="1" x14ac:dyDescent="0.3">
      <c r="A114" s="5">
        <v>113</v>
      </c>
      <c r="B114" s="5">
        <v>1016125</v>
      </c>
      <c r="C114" s="5" t="s">
        <v>225</v>
      </c>
      <c r="D114" s="5" t="s">
        <v>17</v>
      </c>
      <c r="E114" s="5" t="s">
        <v>12</v>
      </c>
      <c r="F114" s="5" t="s">
        <v>73</v>
      </c>
      <c r="G114" s="6" t="s">
        <v>74</v>
      </c>
      <c r="H114" s="5" t="s">
        <v>29</v>
      </c>
      <c r="I114" s="5" t="s">
        <v>226</v>
      </c>
      <c r="J114" s="5">
        <v>1400</v>
      </c>
    </row>
    <row r="115" spans="1:10" s="17" customFormat="1" ht="14.15" customHeight="1" x14ac:dyDescent="0.3">
      <c r="A115" s="5">
        <v>114</v>
      </c>
      <c r="B115" s="5">
        <v>1601741</v>
      </c>
      <c r="C115" s="5" t="s">
        <v>227</v>
      </c>
      <c r="D115" s="5" t="s">
        <v>11</v>
      </c>
      <c r="E115" s="5" t="s">
        <v>12</v>
      </c>
      <c r="F115" s="5" t="s">
        <v>23</v>
      </c>
      <c r="G115" s="5" t="s">
        <v>67</v>
      </c>
      <c r="H115" s="5" t="s">
        <v>14</v>
      </c>
      <c r="I115" s="5" t="s">
        <v>160</v>
      </c>
      <c r="J115" s="5">
        <v>1800</v>
      </c>
    </row>
    <row r="116" spans="1:10" s="17" customFormat="1" ht="14.15" customHeight="1" x14ac:dyDescent="0.3">
      <c r="A116" s="5">
        <v>115</v>
      </c>
      <c r="B116" s="5">
        <v>1014265</v>
      </c>
      <c r="C116" s="5" t="s">
        <v>228</v>
      </c>
      <c r="D116" s="5" t="s">
        <v>11</v>
      </c>
      <c r="E116" s="5" t="s">
        <v>12</v>
      </c>
      <c r="F116" s="5" t="s">
        <v>23</v>
      </c>
      <c r="G116" s="5" t="s">
        <v>67</v>
      </c>
      <c r="H116" s="5" t="s">
        <v>14</v>
      </c>
      <c r="I116" s="5" t="s">
        <v>160</v>
      </c>
      <c r="J116" s="5">
        <v>1800</v>
      </c>
    </row>
    <row r="117" spans="1:10" s="17" customFormat="1" ht="14.15" customHeight="1" x14ac:dyDescent="0.3">
      <c r="A117" s="5">
        <v>116</v>
      </c>
      <c r="B117" s="5">
        <v>1002465</v>
      </c>
      <c r="C117" s="5" t="s">
        <v>229</v>
      </c>
      <c r="D117" s="5" t="s">
        <v>17</v>
      </c>
      <c r="E117" s="5" t="s">
        <v>12</v>
      </c>
      <c r="F117" s="5" t="s">
        <v>73</v>
      </c>
      <c r="G117" s="6" t="s">
        <v>74</v>
      </c>
      <c r="H117" s="5" t="s">
        <v>20</v>
      </c>
      <c r="I117" s="5" t="s">
        <v>20</v>
      </c>
      <c r="J117" s="5">
        <v>1400</v>
      </c>
    </row>
    <row r="118" spans="1:10" s="17" customFormat="1" ht="14.15" customHeight="1" x14ac:dyDescent="0.3">
      <c r="A118" s="5">
        <v>117</v>
      </c>
      <c r="B118" s="5">
        <v>1017691</v>
      </c>
      <c r="C118" s="5" t="s">
        <v>230</v>
      </c>
      <c r="D118" s="5" t="s">
        <v>17</v>
      </c>
      <c r="E118" s="5" t="s">
        <v>12</v>
      </c>
      <c r="F118" s="5" t="s">
        <v>100</v>
      </c>
      <c r="G118" s="5" t="s">
        <v>101</v>
      </c>
      <c r="H118" s="5" t="s">
        <v>29</v>
      </c>
      <c r="I118" s="5" t="s">
        <v>231</v>
      </c>
      <c r="J118" s="5">
        <v>1800</v>
      </c>
    </row>
    <row r="119" spans="1:10" s="17" customFormat="1" ht="14.15" customHeight="1" x14ac:dyDescent="0.3">
      <c r="A119" s="5">
        <v>118</v>
      </c>
      <c r="B119" s="5">
        <v>1016107</v>
      </c>
      <c r="C119" s="5" t="s">
        <v>232</v>
      </c>
      <c r="D119" s="5" t="s">
        <v>17</v>
      </c>
      <c r="E119" s="5" t="s">
        <v>12</v>
      </c>
      <c r="F119" s="5" t="s">
        <v>53</v>
      </c>
      <c r="G119" s="6" t="s">
        <v>74</v>
      </c>
      <c r="H119" s="5" t="s">
        <v>29</v>
      </c>
      <c r="I119" s="5" t="s">
        <v>181</v>
      </c>
      <c r="J119" s="5">
        <v>1400</v>
      </c>
    </row>
    <row r="120" spans="1:10" s="17" customFormat="1" ht="14.15" customHeight="1" x14ac:dyDescent="0.3">
      <c r="A120" s="5">
        <v>119</v>
      </c>
      <c r="B120" s="5">
        <v>1601783</v>
      </c>
      <c r="C120" s="5" t="s">
        <v>233</v>
      </c>
      <c r="D120" s="5" t="s">
        <v>17</v>
      </c>
      <c r="E120" s="5" t="s">
        <v>12</v>
      </c>
      <c r="F120" s="5" t="s">
        <v>73</v>
      </c>
      <c r="G120" s="6" t="s">
        <v>95</v>
      </c>
      <c r="H120" s="5" t="s">
        <v>96</v>
      </c>
      <c r="I120" s="5" t="s">
        <v>234</v>
      </c>
      <c r="J120" s="5">
        <v>1800</v>
      </c>
    </row>
    <row r="121" spans="1:10" s="17" customFormat="1" ht="14.15" customHeight="1" x14ac:dyDescent="0.3">
      <c r="A121" s="5">
        <v>120</v>
      </c>
      <c r="B121" s="5">
        <v>1014173</v>
      </c>
      <c r="C121" s="5" t="s">
        <v>235</v>
      </c>
      <c r="D121" s="5" t="s">
        <v>17</v>
      </c>
      <c r="E121" s="5" t="s">
        <v>12</v>
      </c>
      <c r="F121" s="5" t="s">
        <v>27</v>
      </c>
      <c r="G121" s="6" t="s">
        <v>28</v>
      </c>
      <c r="H121" s="5" t="s">
        <v>236</v>
      </c>
      <c r="I121" s="5" t="s">
        <v>236</v>
      </c>
      <c r="J121" s="5">
        <v>1800</v>
      </c>
    </row>
    <row r="122" spans="1:10" s="17" customFormat="1" ht="14.15" customHeight="1" x14ac:dyDescent="0.3">
      <c r="A122" s="5">
        <v>121</v>
      </c>
      <c r="B122" s="5">
        <v>1014827</v>
      </c>
      <c r="C122" s="5" t="s">
        <v>237</v>
      </c>
      <c r="D122" s="5" t="s">
        <v>17</v>
      </c>
      <c r="E122" s="5" t="s">
        <v>12</v>
      </c>
      <c r="F122" s="5" t="s">
        <v>60</v>
      </c>
      <c r="G122" s="6" t="s">
        <v>183</v>
      </c>
      <c r="H122" s="5" t="s">
        <v>29</v>
      </c>
      <c r="I122" s="5" t="s">
        <v>238</v>
      </c>
      <c r="J122" s="5">
        <v>1200</v>
      </c>
    </row>
    <row r="123" spans="1:10" x14ac:dyDescent="0.3">
      <c r="A123" s="5">
        <v>122</v>
      </c>
      <c r="B123" s="6">
        <v>1009263</v>
      </c>
      <c r="C123" s="6" t="s">
        <v>239</v>
      </c>
      <c r="D123" s="6" t="s">
        <v>17</v>
      </c>
      <c r="E123" s="6" t="s">
        <v>12</v>
      </c>
      <c r="F123" s="6" t="s">
        <v>27</v>
      </c>
      <c r="G123" s="6" t="s">
        <v>28</v>
      </c>
      <c r="H123" s="6" t="s">
        <v>240</v>
      </c>
      <c r="I123" s="6" t="s">
        <v>240</v>
      </c>
      <c r="J123" s="6">
        <v>1700</v>
      </c>
    </row>
    <row r="124" spans="1:10" s="17" customFormat="1" ht="14.15" customHeight="1" x14ac:dyDescent="0.3">
      <c r="A124" s="5">
        <v>123</v>
      </c>
      <c r="B124" s="5">
        <v>1007109</v>
      </c>
      <c r="C124" s="15" t="s">
        <v>241</v>
      </c>
      <c r="D124" s="5" t="s">
        <v>164</v>
      </c>
      <c r="E124" s="5" t="s">
        <v>12</v>
      </c>
      <c r="F124" s="5" t="s">
        <v>165</v>
      </c>
      <c r="G124" s="5" t="s">
        <v>166</v>
      </c>
      <c r="H124" s="5" t="s">
        <v>29</v>
      </c>
      <c r="I124" s="5" t="s">
        <v>29</v>
      </c>
      <c r="J124" s="5" t="s">
        <v>168</v>
      </c>
    </row>
    <row r="125" spans="1:10" s="17" customFormat="1" ht="14.15" customHeight="1" x14ac:dyDescent="0.3">
      <c r="A125" s="5">
        <v>124</v>
      </c>
      <c r="B125" s="5">
        <v>1100515</v>
      </c>
      <c r="C125" s="5" t="s">
        <v>242</v>
      </c>
      <c r="D125" s="5" t="s">
        <v>17</v>
      </c>
      <c r="E125" s="5" t="s">
        <v>12</v>
      </c>
      <c r="F125" s="5" t="s">
        <v>73</v>
      </c>
      <c r="G125" s="6" t="s">
        <v>74</v>
      </c>
      <c r="H125" s="5" t="s">
        <v>130</v>
      </c>
      <c r="I125" s="5" t="s">
        <v>221</v>
      </c>
      <c r="J125" s="5">
        <v>1400</v>
      </c>
    </row>
    <row r="126" spans="1:10" s="17" customFormat="1" ht="14.15" customHeight="1" x14ac:dyDescent="0.3">
      <c r="A126" s="5">
        <v>125</v>
      </c>
      <c r="B126" s="5">
        <v>1100583</v>
      </c>
      <c r="C126" s="15" t="s">
        <v>243</v>
      </c>
      <c r="D126" s="6" t="s">
        <v>17</v>
      </c>
      <c r="E126" s="6" t="s">
        <v>12</v>
      </c>
      <c r="F126" s="5" t="s">
        <v>73</v>
      </c>
      <c r="G126" s="6" t="s">
        <v>74</v>
      </c>
      <c r="H126" s="5" t="s">
        <v>29</v>
      </c>
      <c r="I126" s="5" t="s">
        <v>29</v>
      </c>
      <c r="J126" s="5">
        <v>1400</v>
      </c>
    </row>
    <row r="127" spans="1:10" s="17" customFormat="1" ht="14.15" customHeight="1" x14ac:dyDescent="0.3">
      <c r="A127" s="5">
        <v>126</v>
      </c>
      <c r="B127" s="5">
        <v>1100625</v>
      </c>
      <c r="C127" s="15" t="s">
        <v>244</v>
      </c>
      <c r="D127" s="5" t="s">
        <v>17</v>
      </c>
      <c r="E127" s="6" t="s">
        <v>12</v>
      </c>
      <c r="F127" s="5" t="s">
        <v>18</v>
      </c>
      <c r="G127" s="6" t="s">
        <v>178</v>
      </c>
      <c r="H127" s="11" t="s">
        <v>240</v>
      </c>
      <c r="I127" s="5" t="s">
        <v>240</v>
      </c>
      <c r="J127" s="5">
        <v>1700</v>
      </c>
    </row>
    <row r="128" spans="1:10" s="17" customFormat="1" ht="14.15" customHeight="1" x14ac:dyDescent="0.3">
      <c r="A128" s="5">
        <v>127</v>
      </c>
      <c r="B128" s="5">
        <v>1012437</v>
      </c>
      <c r="C128" s="15" t="s">
        <v>245</v>
      </c>
      <c r="D128" s="5" t="s">
        <v>17</v>
      </c>
      <c r="E128" s="6" t="s">
        <v>12</v>
      </c>
      <c r="F128" s="5" t="s">
        <v>73</v>
      </c>
      <c r="G128" s="6" t="s">
        <v>74</v>
      </c>
      <c r="H128" s="11" t="s">
        <v>246</v>
      </c>
      <c r="I128" s="15" t="s">
        <v>247</v>
      </c>
      <c r="J128" s="5">
        <v>1200</v>
      </c>
    </row>
    <row r="129" spans="1:10" s="17" customFormat="1" ht="14.15" customHeight="1" x14ac:dyDescent="0.3">
      <c r="A129" s="5">
        <v>128</v>
      </c>
      <c r="B129" s="5">
        <v>1015842</v>
      </c>
      <c r="C129" s="15" t="s">
        <v>248</v>
      </c>
      <c r="D129" s="5" t="s">
        <v>17</v>
      </c>
      <c r="E129" s="6" t="s">
        <v>12</v>
      </c>
      <c r="F129" s="5" t="s">
        <v>165</v>
      </c>
      <c r="G129" s="5" t="s">
        <v>166</v>
      </c>
      <c r="H129" s="11" t="s">
        <v>29</v>
      </c>
      <c r="I129" s="15" t="s">
        <v>29</v>
      </c>
      <c r="J129" s="5">
        <v>1400</v>
      </c>
    </row>
    <row r="130" spans="1:10" s="17" customFormat="1" ht="14.15" customHeight="1" x14ac:dyDescent="0.3">
      <c r="A130" s="5">
        <v>129</v>
      </c>
      <c r="B130" s="5">
        <v>1100468</v>
      </c>
      <c r="C130" s="15" t="s">
        <v>249</v>
      </c>
      <c r="D130" s="5" t="s">
        <v>17</v>
      </c>
      <c r="E130" s="6" t="s">
        <v>12</v>
      </c>
      <c r="F130" s="5" t="s">
        <v>100</v>
      </c>
      <c r="G130" s="5" t="s">
        <v>101</v>
      </c>
      <c r="H130" s="11" t="s">
        <v>34</v>
      </c>
      <c r="I130" s="15" t="s">
        <v>34</v>
      </c>
      <c r="J130" s="5">
        <v>1800</v>
      </c>
    </row>
    <row r="131" spans="1:10" s="17" customFormat="1" ht="14.15" customHeight="1" x14ac:dyDescent="0.3">
      <c r="A131" s="5">
        <v>130</v>
      </c>
      <c r="B131" s="5">
        <v>1100729</v>
      </c>
      <c r="C131" s="15" t="s">
        <v>250</v>
      </c>
      <c r="D131" s="5" t="s">
        <v>17</v>
      </c>
      <c r="E131" s="6" t="s">
        <v>12</v>
      </c>
      <c r="F131" s="5" t="s">
        <v>27</v>
      </c>
      <c r="G131" s="6" t="s">
        <v>28</v>
      </c>
      <c r="H131" s="11" t="s">
        <v>29</v>
      </c>
      <c r="I131" s="15" t="s">
        <v>29</v>
      </c>
      <c r="J131" s="5">
        <v>1700</v>
      </c>
    </row>
    <row r="132" spans="1:10" s="17" customFormat="1" ht="14.15" customHeight="1" x14ac:dyDescent="0.3">
      <c r="A132" s="5">
        <v>131</v>
      </c>
      <c r="B132" s="5">
        <v>1016717</v>
      </c>
      <c r="C132" s="15" t="s">
        <v>251</v>
      </c>
      <c r="D132" s="5" t="s">
        <v>17</v>
      </c>
      <c r="E132" s="6" t="s">
        <v>12</v>
      </c>
      <c r="F132" s="5" t="s">
        <v>73</v>
      </c>
      <c r="G132" s="6" t="s">
        <v>74</v>
      </c>
      <c r="H132" s="11" t="s">
        <v>246</v>
      </c>
      <c r="I132" s="15" t="s">
        <v>246</v>
      </c>
      <c r="J132" s="5">
        <v>1400</v>
      </c>
    </row>
    <row r="133" spans="1:10" s="17" customFormat="1" ht="14.15" customHeight="1" x14ac:dyDescent="0.3">
      <c r="A133" s="5">
        <v>132</v>
      </c>
      <c r="B133" s="5">
        <v>1100752</v>
      </c>
      <c r="C133" s="15" t="s">
        <v>252</v>
      </c>
      <c r="D133" s="5" t="s">
        <v>17</v>
      </c>
      <c r="E133" s="6" t="s">
        <v>12</v>
      </c>
      <c r="F133" s="6" t="s">
        <v>32</v>
      </c>
      <c r="G133" s="6" t="s">
        <v>33</v>
      </c>
      <c r="H133" s="11" t="s">
        <v>253</v>
      </c>
      <c r="I133" s="15" t="s">
        <v>253</v>
      </c>
      <c r="J133" s="5">
        <v>1800</v>
      </c>
    </row>
    <row r="134" spans="1:10" s="17" customFormat="1" ht="14.15" customHeight="1" x14ac:dyDescent="0.3">
      <c r="A134" s="5">
        <v>133</v>
      </c>
      <c r="B134" s="5">
        <v>1015679</v>
      </c>
      <c r="C134" s="15" t="s">
        <v>254</v>
      </c>
      <c r="D134" s="5" t="s">
        <v>17</v>
      </c>
      <c r="E134" s="6" t="s">
        <v>12</v>
      </c>
      <c r="F134" s="6" t="s">
        <v>23</v>
      </c>
      <c r="G134" s="6" t="s">
        <v>114</v>
      </c>
      <c r="H134" s="11" t="s">
        <v>14</v>
      </c>
      <c r="I134" s="15" t="s">
        <v>160</v>
      </c>
      <c r="J134" s="5">
        <v>1200</v>
      </c>
    </row>
    <row r="135" spans="1:10" s="17" customFormat="1" ht="14.15" customHeight="1" x14ac:dyDescent="0.3">
      <c r="A135" s="5">
        <v>134</v>
      </c>
      <c r="B135" s="5">
        <v>1100745</v>
      </c>
      <c r="C135" s="15" t="s">
        <v>255</v>
      </c>
      <c r="D135" s="5" t="s">
        <v>17</v>
      </c>
      <c r="E135" s="6" t="s">
        <v>12</v>
      </c>
      <c r="F135" s="5" t="s">
        <v>73</v>
      </c>
      <c r="G135" s="6" t="s">
        <v>74</v>
      </c>
      <c r="H135" s="11" t="s">
        <v>29</v>
      </c>
      <c r="I135" s="15" t="s">
        <v>29</v>
      </c>
      <c r="J135" s="5">
        <v>1200</v>
      </c>
    </row>
    <row r="136" spans="1:10" s="17" customFormat="1" ht="14.15" customHeight="1" x14ac:dyDescent="0.3">
      <c r="A136" s="5">
        <v>135</v>
      </c>
      <c r="B136" s="5">
        <v>1100770</v>
      </c>
      <c r="C136" s="7" t="s">
        <v>256</v>
      </c>
      <c r="D136" s="5" t="s">
        <v>17</v>
      </c>
      <c r="E136" s="5" t="s">
        <v>12</v>
      </c>
      <c r="F136" s="5" t="s">
        <v>73</v>
      </c>
      <c r="G136" s="6" t="s">
        <v>95</v>
      </c>
      <c r="H136" s="5" t="s">
        <v>96</v>
      </c>
      <c r="I136" s="5" t="s">
        <v>234</v>
      </c>
      <c r="J136" s="5">
        <v>1400</v>
      </c>
    </row>
    <row r="137" spans="1:10" s="17" customFormat="1" ht="14.15" customHeight="1" x14ac:dyDescent="0.3">
      <c r="A137" s="5">
        <v>136</v>
      </c>
      <c r="B137" s="5">
        <v>1100645</v>
      </c>
      <c r="C137" s="7" t="s">
        <v>257</v>
      </c>
      <c r="D137" s="5" t="s">
        <v>17</v>
      </c>
      <c r="E137" s="5" t="s">
        <v>12</v>
      </c>
      <c r="F137" s="5" t="s">
        <v>73</v>
      </c>
      <c r="G137" s="6" t="s">
        <v>95</v>
      </c>
      <c r="H137" s="5" t="s">
        <v>96</v>
      </c>
      <c r="I137" s="5" t="s">
        <v>234</v>
      </c>
      <c r="J137" s="5">
        <v>1400</v>
      </c>
    </row>
    <row r="138" spans="1:10" s="17" customFormat="1" ht="14.15" customHeight="1" x14ac:dyDescent="0.3">
      <c r="A138" s="5">
        <v>137</v>
      </c>
      <c r="B138" s="5">
        <v>1100746</v>
      </c>
      <c r="C138" s="7" t="s">
        <v>258</v>
      </c>
      <c r="D138" s="5" t="s">
        <v>17</v>
      </c>
      <c r="E138" s="5" t="s">
        <v>12</v>
      </c>
      <c r="F138" s="5" t="s">
        <v>193</v>
      </c>
      <c r="G138" s="6" t="s">
        <v>259</v>
      </c>
      <c r="H138" s="5" t="s">
        <v>34</v>
      </c>
      <c r="I138" s="5" t="s">
        <v>34</v>
      </c>
      <c r="J138" s="5">
        <v>1200</v>
      </c>
    </row>
    <row r="139" spans="1:10" s="17" customFormat="1" ht="14.15" customHeight="1" x14ac:dyDescent="0.3">
      <c r="A139" s="5">
        <v>138</v>
      </c>
      <c r="B139" s="5">
        <v>1100996</v>
      </c>
      <c r="C139" s="7" t="s">
        <v>260</v>
      </c>
      <c r="D139" s="5" t="s">
        <v>17</v>
      </c>
      <c r="E139" s="5" t="s">
        <v>12</v>
      </c>
      <c r="F139" s="5" t="s">
        <v>50</v>
      </c>
      <c r="G139" s="5" t="s">
        <v>261</v>
      </c>
      <c r="H139" s="5" t="s">
        <v>262</v>
      </c>
      <c r="I139" s="5" t="s">
        <v>262</v>
      </c>
      <c r="J139" s="5">
        <v>2100</v>
      </c>
    </row>
    <row r="140" spans="1:10" s="17" customFormat="1" ht="14.15" customHeight="1" x14ac:dyDescent="0.3">
      <c r="A140" s="5">
        <v>139</v>
      </c>
      <c r="B140" s="5">
        <v>1008331</v>
      </c>
      <c r="C140" s="7" t="s">
        <v>263</v>
      </c>
      <c r="D140" s="5" t="s">
        <v>17</v>
      </c>
      <c r="E140" s="5" t="s">
        <v>12</v>
      </c>
      <c r="F140" s="5" t="s">
        <v>23</v>
      </c>
      <c r="G140" s="6" t="s">
        <v>114</v>
      </c>
      <c r="H140" s="5" t="s">
        <v>14</v>
      </c>
      <c r="I140" s="5" t="s">
        <v>160</v>
      </c>
      <c r="J140" s="5">
        <v>1400</v>
      </c>
    </row>
    <row r="141" spans="1:10" s="17" customFormat="1" ht="14.15" customHeight="1" x14ac:dyDescent="0.3">
      <c r="A141" s="5">
        <v>140</v>
      </c>
      <c r="B141" s="5">
        <v>1010831</v>
      </c>
      <c r="C141" s="7" t="s">
        <v>264</v>
      </c>
      <c r="D141" s="5" t="s">
        <v>17</v>
      </c>
      <c r="E141" s="5" t="s">
        <v>12</v>
      </c>
      <c r="F141" s="5" t="s">
        <v>27</v>
      </c>
      <c r="G141" s="5" t="s">
        <v>28</v>
      </c>
      <c r="H141" s="5" t="s">
        <v>130</v>
      </c>
      <c r="I141" s="5" t="s">
        <v>130</v>
      </c>
      <c r="J141" s="5">
        <v>2000</v>
      </c>
    </row>
    <row r="142" spans="1:10" s="17" customFormat="1" ht="14.15" customHeight="1" x14ac:dyDescent="0.3">
      <c r="A142" s="5">
        <v>141</v>
      </c>
      <c r="B142" s="5">
        <v>1101087</v>
      </c>
      <c r="C142" s="7" t="s">
        <v>265</v>
      </c>
      <c r="D142" s="5" t="s">
        <v>17</v>
      </c>
      <c r="E142" s="5" t="s">
        <v>12</v>
      </c>
      <c r="F142" s="5" t="s">
        <v>27</v>
      </c>
      <c r="G142" s="5" t="s">
        <v>28</v>
      </c>
      <c r="H142" s="5" t="s">
        <v>84</v>
      </c>
      <c r="I142" s="5" t="s">
        <v>84</v>
      </c>
      <c r="J142" s="5">
        <v>1400</v>
      </c>
    </row>
    <row r="143" spans="1:10" s="17" customFormat="1" ht="14.15" customHeight="1" x14ac:dyDescent="0.3">
      <c r="A143" s="5">
        <v>142</v>
      </c>
      <c r="B143" s="5">
        <v>1101133</v>
      </c>
      <c r="C143" s="7" t="s">
        <v>266</v>
      </c>
      <c r="D143" s="5" t="s">
        <v>17</v>
      </c>
      <c r="E143" s="5" t="s">
        <v>12</v>
      </c>
      <c r="F143" s="5" t="s">
        <v>165</v>
      </c>
      <c r="G143" s="5" t="s">
        <v>166</v>
      </c>
      <c r="H143" s="5" t="s">
        <v>29</v>
      </c>
      <c r="I143" s="15" t="s">
        <v>29</v>
      </c>
      <c r="J143" s="5">
        <v>1700</v>
      </c>
    </row>
    <row r="144" spans="1:10" s="17" customFormat="1" ht="14.15" customHeight="1" x14ac:dyDescent="0.3">
      <c r="A144" s="5">
        <v>143</v>
      </c>
      <c r="B144" s="5">
        <v>1015939</v>
      </c>
      <c r="C144" s="7" t="s">
        <v>267</v>
      </c>
      <c r="D144" s="5" t="s">
        <v>164</v>
      </c>
      <c r="E144" s="5" t="s">
        <v>12</v>
      </c>
      <c r="F144" s="5" t="s">
        <v>73</v>
      </c>
      <c r="G144" s="6" t="s">
        <v>74</v>
      </c>
      <c r="H144" s="5" t="s">
        <v>218</v>
      </c>
      <c r="I144" s="5" t="s">
        <v>219</v>
      </c>
      <c r="J144" s="5" t="s">
        <v>168</v>
      </c>
    </row>
    <row r="145" spans="1:10" s="17" customFormat="1" ht="14.15" customHeight="1" x14ac:dyDescent="0.3">
      <c r="A145" s="5">
        <v>144</v>
      </c>
      <c r="B145" s="5">
        <v>1013786</v>
      </c>
      <c r="C145" s="7" t="s">
        <v>268</v>
      </c>
      <c r="D145" s="5" t="s">
        <v>164</v>
      </c>
      <c r="E145" s="5" t="s">
        <v>12</v>
      </c>
      <c r="F145" s="5" t="s">
        <v>73</v>
      </c>
      <c r="G145" s="6" t="s">
        <v>74</v>
      </c>
      <c r="H145" s="5" t="s">
        <v>218</v>
      </c>
      <c r="I145" s="5" t="s">
        <v>219</v>
      </c>
      <c r="J145" s="5" t="s">
        <v>168</v>
      </c>
    </row>
    <row r="146" spans="1:10" s="17" customFormat="1" ht="14.15" customHeight="1" x14ac:dyDescent="0.3">
      <c r="A146" s="5">
        <v>145</v>
      </c>
      <c r="B146" s="5">
        <v>1015431</v>
      </c>
      <c r="C146" s="7" t="s">
        <v>269</v>
      </c>
      <c r="D146" s="5" t="s">
        <v>164</v>
      </c>
      <c r="E146" s="5" t="s">
        <v>12</v>
      </c>
      <c r="F146" s="5" t="s">
        <v>73</v>
      </c>
      <c r="G146" s="6" t="s">
        <v>74</v>
      </c>
      <c r="H146" s="5" t="s">
        <v>218</v>
      </c>
      <c r="I146" s="5" t="s">
        <v>219</v>
      </c>
      <c r="J146" s="5" t="s">
        <v>168</v>
      </c>
    </row>
    <row r="147" spans="1:10" s="17" customFormat="1" ht="14.15" customHeight="1" x14ac:dyDescent="0.3">
      <c r="A147" s="5">
        <v>146</v>
      </c>
      <c r="B147" s="5">
        <v>1011367</v>
      </c>
      <c r="C147" s="7" t="s">
        <v>270</v>
      </c>
      <c r="D147" s="5" t="s">
        <v>17</v>
      </c>
      <c r="E147" s="5" t="s">
        <v>12</v>
      </c>
      <c r="F147" s="5" t="s">
        <v>73</v>
      </c>
      <c r="G147" s="6" t="s">
        <v>95</v>
      </c>
      <c r="H147" s="5" t="s">
        <v>96</v>
      </c>
      <c r="I147" s="5" t="s">
        <v>234</v>
      </c>
      <c r="J147" s="5">
        <v>1400</v>
      </c>
    </row>
    <row r="148" spans="1:10" s="17" customFormat="1" ht="14.15" customHeight="1" x14ac:dyDescent="0.3">
      <c r="A148" s="5">
        <v>147</v>
      </c>
      <c r="B148" s="5">
        <v>1015712</v>
      </c>
      <c r="C148" s="7" t="s">
        <v>271</v>
      </c>
      <c r="D148" s="5" t="s">
        <v>17</v>
      </c>
      <c r="E148" s="5" t="s">
        <v>12</v>
      </c>
      <c r="F148" s="5" t="s">
        <v>73</v>
      </c>
      <c r="G148" s="6" t="s">
        <v>272</v>
      </c>
      <c r="H148" s="5" t="s">
        <v>29</v>
      </c>
      <c r="I148" s="7" t="s">
        <v>29</v>
      </c>
      <c r="J148" s="5">
        <v>2100</v>
      </c>
    </row>
    <row r="149" spans="1:10" x14ac:dyDescent="0.3">
      <c r="A149" s="5">
        <v>148</v>
      </c>
      <c r="B149" s="6">
        <v>1101262</v>
      </c>
      <c r="C149" s="6" t="s">
        <v>273</v>
      </c>
      <c r="D149" s="5" t="s">
        <v>17</v>
      </c>
      <c r="E149" s="5" t="s">
        <v>12</v>
      </c>
      <c r="F149" s="6" t="s">
        <v>27</v>
      </c>
      <c r="G149" s="6" t="s">
        <v>40</v>
      </c>
      <c r="H149" s="6" t="s">
        <v>29</v>
      </c>
      <c r="I149" s="6" t="s">
        <v>29</v>
      </c>
      <c r="J149" s="6">
        <v>1700</v>
      </c>
    </row>
    <row r="150" spans="1:10" x14ac:dyDescent="0.3">
      <c r="A150" s="5">
        <v>149</v>
      </c>
      <c r="B150" s="6">
        <v>1009270</v>
      </c>
      <c r="C150" s="6" t="s">
        <v>274</v>
      </c>
      <c r="D150" s="5" t="s">
        <v>17</v>
      </c>
      <c r="E150" s="5" t="s">
        <v>12</v>
      </c>
      <c r="F150" s="6" t="s">
        <v>50</v>
      </c>
      <c r="G150" s="5" t="s">
        <v>261</v>
      </c>
      <c r="H150" s="6" t="s">
        <v>262</v>
      </c>
      <c r="I150" s="5" t="s">
        <v>262</v>
      </c>
      <c r="J150" s="6">
        <v>1800</v>
      </c>
    </row>
    <row r="151" spans="1:10" x14ac:dyDescent="0.3">
      <c r="A151" s="5">
        <v>150</v>
      </c>
      <c r="B151" s="6">
        <v>1013437</v>
      </c>
      <c r="C151" s="6" t="s">
        <v>275</v>
      </c>
      <c r="D151" s="5" t="s">
        <v>17</v>
      </c>
      <c r="E151" s="5" t="s">
        <v>12</v>
      </c>
      <c r="F151" s="6" t="s">
        <v>50</v>
      </c>
      <c r="G151" s="5" t="s">
        <v>261</v>
      </c>
      <c r="H151" s="6" t="s">
        <v>262</v>
      </c>
      <c r="I151" s="5" t="s">
        <v>262</v>
      </c>
      <c r="J151" s="6">
        <v>1800</v>
      </c>
    </row>
    <row r="152" spans="1:10" x14ac:dyDescent="0.3">
      <c r="A152" s="5">
        <v>151</v>
      </c>
      <c r="B152" s="6">
        <v>1101276</v>
      </c>
      <c r="C152" s="6" t="s">
        <v>276</v>
      </c>
      <c r="D152" s="5" t="s">
        <v>17</v>
      </c>
      <c r="E152" s="5" t="s">
        <v>12</v>
      </c>
      <c r="F152" s="6" t="s">
        <v>73</v>
      </c>
      <c r="G152" s="6" t="s">
        <v>95</v>
      </c>
      <c r="H152" s="6" t="s">
        <v>130</v>
      </c>
      <c r="I152" s="6" t="s">
        <v>277</v>
      </c>
      <c r="J152" s="6">
        <v>2100</v>
      </c>
    </row>
    <row r="153" spans="1:10" x14ac:dyDescent="0.3">
      <c r="A153" s="5">
        <v>152</v>
      </c>
      <c r="B153" s="6">
        <v>1101306</v>
      </c>
      <c r="C153" s="6" t="s">
        <v>278</v>
      </c>
      <c r="D153" s="5" t="s">
        <v>17</v>
      </c>
      <c r="E153" s="5" t="s">
        <v>12</v>
      </c>
      <c r="F153" s="6" t="s">
        <v>73</v>
      </c>
      <c r="G153" s="6" t="s">
        <v>95</v>
      </c>
      <c r="H153" s="6" t="s">
        <v>96</v>
      </c>
      <c r="I153" s="5" t="s">
        <v>234</v>
      </c>
      <c r="J153" s="6">
        <v>1700</v>
      </c>
    </row>
    <row r="154" spans="1:10" x14ac:dyDescent="0.3">
      <c r="A154" s="5">
        <v>153</v>
      </c>
      <c r="B154" s="6">
        <v>1101300</v>
      </c>
      <c r="C154" s="6" t="s">
        <v>279</v>
      </c>
      <c r="D154" s="5" t="s">
        <v>17</v>
      </c>
      <c r="E154" s="5" t="s">
        <v>12</v>
      </c>
      <c r="F154" s="6" t="s">
        <v>27</v>
      </c>
      <c r="G154" s="6" t="s">
        <v>28</v>
      </c>
      <c r="H154" s="6" t="s">
        <v>29</v>
      </c>
      <c r="I154" s="6" t="s">
        <v>280</v>
      </c>
      <c r="J154" s="6">
        <v>1700</v>
      </c>
    </row>
    <row r="155" spans="1:10" x14ac:dyDescent="0.3">
      <c r="A155" s="5">
        <v>154</v>
      </c>
      <c r="B155" s="6">
        <v>1101374</v>
      </c>
      <c r="C155" s="6" t="s">
        <v>281</v>
      </c>
      <c r="D155" s="5" t="s">
        <v>17</v>
      </c>
      <c r="E155" s="5" t="s">
        <v>12</v>
      </c>
      <c r="F155" s="6" t="s">
        <v>27</v>
      </c>
      <c r="G155" s="6" t="s">
        <v>28</v>
      </c>
      <c r="H155" s="6" t="s">
        <v>130</v>
      </c>
      <c r="I155" s="6" t="s">
        <v>282</v>
      </c>
      <c r="J155" s="6">
        <v>1800</v>
      </c>
    </row>
    <row r="156" spans="1:10" x14ac:dyDescent="0.3">
      <c r="A156" s="5">
        <v>155</v>
      </c>
      <c r="B156" s="6">
        <v>1602021</v>
      </c>
      <c r="C156" s="6" t="s">
        <v>283</v>
      </c>
      <c r="D156" s="5" t="s">
        <v>11</v>
      </c>
      <c r="E156" s="5" t="s">
        <v>12</v>
      </c>
      <c r="F156" s="6" t="s">
        <v>23</v>
      </c>
      <c r="G156" s="6" t="s">
        <v>114</v>
      </c>
      <c r="H156" s="6" t="s">
        <v>14</v>
      </c>
      <c r="I156" s="5" t="s">
        <v>14</v>
      </c>
      <c r="J156" s="6">
        <v>2800</v>
      </c>
    </row>
    <row r="157" spans="1:10" x14ac:dyDescent="0.3">
      <c r="A157" s="5">
        <v>156</v>
      </c>
      <c r="B157" s="6">
        <v>1101014</v>
      </c>
      <c r="C157" s="6" t="s">
        <v>284</v>
      </c>
      <c r="D157" s="5" t="s">
        <v>17</v>
      </c>
      <c r="E157" s="5" t="s">
        <v>12</v>
      </c>
      <c r="F157" s="6" t="s">
        <v>23</v>
      </c>
      <c r="G157" s="6" t="s">
        <v>114</v>
      </c>
      <c r="H157" s="6" t="s">
        <v>29</v>
      </c>
      <c r="I157" s="6" t="s">
        <v>30</v>
      </c>
      <c r="J157" s="6">
        <v>2100</v>
      </c>
    </row>
    <row r="158" spans="1:10" x14ac:dyDescent="0.3">
      <c r="A158" s="5">
        <v>157</v>
      </c>
      <c r="B158" s="6">
        <v>1101314</v>
      </c>
      <c r="C158" s="6" t="s">
        <v>285</v>
      </c>
      <c r="D158" s="5" t="s">
        <v>17</v>
      </c>
      <c r="E158" s="5" t="s">
        <v>12</v>
      </c>
      <c r="F158" s="5" t="s">
        <v>53</v>
      </c>
      <c r="G158" s="5" t="s">
        <v>53</v>
      </c>
      <c r="H158" s="6" t="s">
        <v>20</v>
      </c>
      <c r="I158" s="5" t="s">
        <v>20</v>
      </c>
      <c r="J158" s="6">
        <v>1400</v>
      </c>
    </row>
    <row r="159" spans="1:10" x14ac:dyDescent="0.3">
      <c r="A159" s="5">
        <v>158</v>
      </c>
      <c r="B159" s="6">
        <v>1101517</v>
      </c>
      <c r="C159" s="6" t="s">
        <v>286</v>
      </c>
      <c r="D159" s="5" t="s">
        <v>17</v>
      </c>
      <c r="E159" s="5" t="s">
        <v>12</v>
      </c>
      <c r="F159" s="5" t="s">
        <v>27</v>
      </c>
      <c r="G159" s="5" t="s">
        <v>28</v>
      </c>
      <c r="H159" s="6" t="s">
        <v>130</v>
      </c>
      <c r="I159" s="6"/>
      <c r="J159" s="6">
        <v>1700</v>
      </c>
    </row>
    <row r="160" spans="1:10" x14ac:dyDescent="0.3">
      <c r="A160" s="5">
        <v>159</v>
      </c>
      <c r="B160" s="6">
        <v>1101327</v>
      </c>
      <c r="C160" s="6" t="s">
        <v>287</v>
      </c>
      <c r="D160" s="5" t="s">
        <v>17</v>
      </c>
      <c r="E160" s="5" t="s">
        <v>12</v>
      </c>
      <c r="F160" s="5" t="s">
        <v>37</v>
      </c>
      <c r="G160" s="6" t="s">
        <v>124</v>
      </c>
      <c r="H160" s="5" t="s">
        <v>84</v>
      </c>
      <c r="I160" s="5"/>
      <c r="J160" s="6">
        <v>1800</v>
      </c>
    </row>
    <row r="161" spans="1:10" s="17" customFormat="1" x14ac:dyDescent="0.3">
      <c r="A161" s="5">
        <v>160</v>
      </c>
      <c r="B161" s="5">
        <v>1101033</v>
      </c>
      <c r="C161" s="5" t="s">
        <v>288</v>
      </c>
      <c r="D161" s="5" t="s">
        <v>17</v>
      </c>
      <c r="E161" s="5" t="s">
        <v>12</v>
      </c>
      <c r="F161" s="5" t="s">
        <v>18</v>
      </c>
      <c r="G161" s="5" t="s">
        <v>178</v>
      </c>
      <c r="H161" s="5" t="s">
        <v>29</v>
      </c>
      <c r="I161" s="5" t="s">
        <v>223</v>
      </c>
      <c r="J161" s="5">
        <v>900</v>
      </c>
    </row>
    <row r="162" spans="1:10" x14ac:dyDescent="0.3">
      <c r="A162" s="5">
        <v>161</v>
      </c>
      <c r="B162" s="6">
        <v>1016906</v>
      </c>
      <c r="C162" s="6" t="s">
        <v>289</v>
      </c>
      <c r="D162" s="5" t="s">
        <v>17</v>
      </c>
      <c r="E162" s="5" t="s">
        <v>12</v>
      </c>
      <c r="F162" s="6" t="s">
        <v>100</v>
      </c>
      <c r="G162" s="5" t="s">
        <v>101</v>
      </c>
      <c r="H162" s="5" t="s">
        <v>34</v>
      </c>
      <c r="I162" s="6"/>
      <c r="J162" s="6">
        <v>1500</v>
      </c>
    </row>
    <row r="163" spans="1:10" x14ac:dyDescent="0.3">
      <c r="A163" s="5">
        <v>162</v>
      </c>
      <c r="B163" s="6">
        <v>1602082</v>
      </c>
      <c r="C163" s="6" t="s">
        <v>290</v>
      </c>
      <c r="D163" s="5" t="s">
        <v>11</v>
      </c>
      <c r="E163" s="5" t="s">
        <v>12</v>
      </c>
      <c r="F163" s="5" t="s">
        <v>23</v>
      </c>
      <c r="G163" s="6" t="s">
        <v>114</v>
      </c>
      <c r="H163" s="5" t="s">
        <v>14</v>
      </c>
      <c r="I163" s="5" t="s">
        <v>14</v>
      </c>
      <c r="J163" s="6">
        <v>2400</v>
      </c>
    </row>
    <row r="164" spans="1:10" x14ac:dyDescent="0.3">
      <c r="A164" s="5">
        <v>163</v>
      </c>
      <c r="B164" s="6">
        <v>1101521</v>
      </c>
      <c r="C164" s="6" t="s">
        <v>291</v>
      </c>
      <c r="D164" s="5" t="s">
        <v>17</v>
      </c>
      <c r="E164" s="5" t="s">
        <v>12</v>
      </c>
      <c r="F164" s="5" t="s">
        <v>73</v>
      </c>
      <c r="G164" s="6" t="s">
        <v>95</v>
      </c>
      <c r="H164" s="5" t="s">
        <v>96</v>
      </c>
      <c r="I164" s="5" t="s">
        <v>234</v>
      </c>
      <c r="J164" s="6">
        <v>1400</v>
      </c>
    </row>
    <row r="165" spans="1:10" x14ac:dyDescent="0.3">
      <c r="A165" s="5">
        <v>164</v>
      </c>
      <c r="B165" s="6">
        <v>1000110</v>
      </c>
      <c r="C165" s="6" t="s">
        <v>292</v>
      </c>
      <c r="D165" s="5" t="s">
        <v>11</v>
      </c>
      <c r="E165" s="5" t="s">
        <v>12</v>
      </c>
      <c r="F165" s="5" t="s">
        <v>100</v>
      </c>
      <c r="G165" s="6" t="s">
        <v>101</v>
      </c>
      <c r="H165" s="5" t="s">
        <v>130</v>
      </c>
      <c r="I165" s="6"/>
      <c r="J165" s="6">
        <v>2100</v>
      </c>
    </row>
    <row r="166" spans="1:10" x14ac:dyDescent="0.3">
      <c r="A166" s="5">
        <v>165</v>
      </c>
      <c r="B166" s="6">
        <v>1001573</v>
      </c>
      <c r="C166" s="6" t="s">
        <v>293</v>
      </c>
      <c r="D166" s="5" t="s">
        <v>17</v>
      </c>
      <c r="E166" s="5" t="s">
        <v>12</v>
      </c>
      <c r="F166" s="5" t="s">
        <v>138</v>
      </c>
      <c r="G166" s="5" t="s">
        <v>139</v>
      </c>
      <c r="H166" s="5" t="s">
        <v>29</v>
      </c>
      <c r="I166" s="6"/>
      <c r="J166" s="6">
        <v>2300</v>
      </c>
    </row>
    <row r="167" spans="1:10" x14ac:dyDescent="0.3">
      <c r="A167" s="5">
        <v>166</v>
      </c>
      <c r="B167" s="6">
        <v>1008483</v>
      </c>
      <c r="C167" s="6" t="s">
        <v>294</v>
      </c>
      <c r="D167" s="5" t="s">
        <v>17</v>
      </c>
      <c r="E167" s="5" t="s">
        <v>12</v>
      </c>
      <c r="F167" s="5" t="s">
        <v>138</v>
      </c>
      <c r="G167" s="5" t="s">
        <v>139</v>
      </c>
      <c r="H167" s="5" t="s">
        <v>29</v>
      </c>
      <c r="I167" s="6"/>
      <c r="J167" s="6">
        <v>1800</v>
      </c>
    </row>
    <row r="168" spans="1:10" x14ac:dyDescent="0.3">
      <c r="A168" s="5">
        <v>167</v>
      </c>
      <c r="B168" s="6">
        <v>1101599</v>
      </c>
      <c r="C168" s="6" t="s">
        <v>295</v>
      </c>
      <c r="D168" s="5" t="s">
        <v>17</v>
      </c>
      <c r="E168" s="5" t="s">
        <v>12</v>
      </c>
      <c r="F168" s="5" t="s">
        <v>27</v>
      </c>
      <c r="G168" s="5" t="s">
        <v>28</v>
      </c>
      <c r="H168" s="5" t="s">
        <v>29</v>
      </c>
      <c r="I168" s="6" t="s">
        <v>296</v>
      </c>
      <c r="J168" s="6">
        <v>1700</v>
      </c>
    </row>
    <row r="169" spans="1:10" x14ac:dyDescent="0.3">
      <c r="A169" s="5">
        <v>168</v>
      </c>
      <c r="B169" s="6">
        <v>1101611</v>
      </c>
      <c r="C169" s="6" t="s">
        <v>297</v>
      </c>
      <c r="D169" s="5" t="s">
        <v>17</v>
      </c>
      <c r="E169" s="5" t="s">
        <v>12</v>
      </c>
      <c r="F169" s="5" t="s">
        <v>32</v>
      </c>
      <c r="G169" s="6" t="s">
        <v>33</v>
      </c>
      <c r="H169" s="5" t="s">
        <v>253</v>
      </c>
      <c r="I169" s="15" t="s">
        <v>253</v>
      </c>
      <c r="J169" s="6">
        <v>2100</v>
      </c>
    </row>
    <row r="170" spans="1:10" x14ac:dyDescent="0.3">
      <c r="A170" s="5">
        <v>169</v>
      </c>
      <c r="B170" s="6">
        <v>1101556</v>
      </c>
      <c r="C170" s="6" t="s">
        <v>298</v>
      </c>
      <c r="D170" s="5" t="s">
        <v>17</v>
      </c>
      <c r="E170" s="5" t="s">
        <v>12</v>
      </c>
      <c r="F170" s="5" t="s">
        <v>73</v>
      </c>
      <c r="G170" s="6" t="s">
        <v>95</v>
      </c>
      <c r="H170" s="5" t="s">
        <v>96</v>
      </c>
      <c r="I170" s="5" t="s">
        <v>234</v>
      </c>
      <c r="J170" s="6">
        <v>1400</v>
      </c>
    </row>
    <row r="171" spans="1:10" x14ac:dyDescent="0.3">
      <c r="A171" s="5">
        <v>170</v>
      </c>
      <c r="B171" s="6">
        <v>1007687</v>
      </c>
      <c r="C171" s="6" t="s">
        <v>299</v>
      </c>
      <c r="D171" s="5" t="s">
        <v>17</v>
      </c>
      <c r="E171" s="5" t="s">
        <v>12</v>
      </c>
      <c r="F171" s="5" t="s">
        <v>37</v>
      </c>
      <c r="G171" s="6" t="s">
        <v>38</v>
      </c>
      <c r="H171" s="5" t="s">
        <v>218</v>
      </c>
      <c r="I171" s="5" t="s">
        <v>218</v>
      </c>
      <c r="J171" s="6">
        <v>1700</v>
      </c>
    </row>
    <row r="172" spans="1:10" x14ac:dyDescent="0.3">
      <c r="A172" s="5">
        <v>171</v>
      </c>
      <c r="B172" s="6">
        <v>1101180</v>
      </c>
      <c r="C172" s="6" t="s">
        <v>300</v>
      </c>
      <c r="D172" s="5" t="s">
        <v>17</v>
      </c>
      <c r="E172" s="5" t="s">
        <v>12</v>
      </c>
      <c r="F172" s="5" t="s">
        <v>23</v>
      </c>
      <c r="G172" s="6" t="s">
        <v>114</v>
      </c>
      <c r="H172" s="5" t="s">
        <v>29</v>
      </c>
      <c r="I172" s="6" t="s">
        <v>223</v>
      </c>
      <c r="J172" s="6">
        <v>1700</v>
      </c>
    </row>
    <row r="173" spans="1:10" x14ac:dyDescent="0.3">
      <c r="A173" s="5">
        <v>172</v>
      </c>
      <c r="B173" s="6">
        <v>1101621</v>
      </c>
      <c r="C173" s="6" t="s">
        <v>301</v>
      </c>
      <c r="D173" s="5" t="s">
        <v>17</v>
      </c>
      <c r="E173" s="5" t="s">
        <v>12</v>
      </c>
      <c r="F173" s="5" t="s">
        <v>27</v>
      </c>
      <c r="G173" s="5" t="s">
        <v>28</v>
      </c>
      <c r="H173" s="5" t="s">
        <v>29</v>
      </c>
      <c r="I173" s="6" t="s">
        <v>302</v>
      </c>
      <c r="J173" s="6">
        <v>1700</v>
      </c>
    </row>
    <row r="174" spans="1:10" x14ac:dyDescent="0.3">
      <c r="A174" s="5">
        <v>173</v>
      </c>
      <c r="B174" s="6">
        <v>1101688</v>
      </c>
      <c r="C174" s="6" t="s">
        <v>303</v>
      </c>
      <c r="D174" s="5" t="s">
        <v>17</v>
      </c>
      <c r="E174" s="5" t="s">
        <v>12</v>
      </c>
      <c r="F174" s="5" t="s">
        <v>100</v>
      </c>
      <c r="G174" s="5" t="s">
        <v>101</v>
      </c>
      <c r="H174" s="5" t="s">
        <v>29</v>
      </c>
      <c r="I174" s="6" t="s">
        <v>223</v>
      </c>
      <c r="J174" s="6">
        <v>1700</v>
      </c>
    </row>
    <row r="175" spans="1:10" x14ac:dyDescent="0.3">
      <c r="A175" s="5">
        <v>174</v>
      </c>
      <c r="B175" s="6">
        <v>1101270</v>
      </c>
      <c r="C175" s="6" t="s">
        <v>304</v>
      </c>
      <c r="D175" s="5" t="s">
        <v>17</v>
      </c>
      <c r="E175" s="5" t="s">
        <v>12</v>
      </c>
      <c r="F175" s="5" t="s">
        <v>13</v>
      </c>
      <c r="G175" s="5" t="s">
        <v>13</v>
      </c>
      <c r="H175" s="5" t="s">
        <v>34</v>
      </c>
      <c r="I175" s="6"/>
      <c r="J175" s="6">
        <v>1400</v>
      </c>
    </row>
    <row r="176" spans="1:10" x14ac:dyDescent="0.3">
      <c r="A176" s="5">
        <v>175</v>
      </c>
      <c r="B176" s="6">
        <v>1101719</v>
      </c>
      <c r="C176" s="6" t="s">
        <v>305</v>
      </c>
      <c r="D176" s="5" t="s">
        <v>17</v>
      </c>
      <c r="E176" s="5" t="s">
        <v>12</v>
      </c>
      <c r="F176" s="5" t="s">
        <v>73</v>
      </c>
      <c r="G176" s="6" t="s">
        <v>95</v>
      </c>
      <c r="H176" s="5" t="s">
        <v>130</v>
      </c>
      <c r="I176" s="5" t="s">
        <v>306</v>
      </c>
      <c r="J176" s="6">
        <v>1700</v>
      </c>
    </row>
    <row r="177" spans="1:10" x14ac:dyDescent="0.3">
      <c r="A177" s="5">
        <v>176</v>
      </c>
      <c r="B177" s="6">
        <v>1101722</v>
      </c>
      <c r="C177" s="6" t="s">
        <v>307</v>
      </c>
      <c r="D177" s="5" t="s">
        <v>17</v>
      </c>
      <c r="E177" s="5" t="s">
        <v>12</v>
      </c>
      <c r="F177" s="5" t="s">
        <v>73</v>
      </c>
      <c r="G177" s="6" t="s">
        <v>95</v>
      </c>
      <c r="H177" s="5" t="s">
        <v>96</v>
      </c>
      <c r="I177" s="5" t="s">
        <v>234</v>
      </c>
      <c r="J177" s="6">
        <v>2100</v>
      </c>
    </row>
    <row r="178" spans="1:10" x14ac:dyDescent="0.3">
      <c r="A178" s="5">
        <v>177</v>
      </c>
      <c r="B178" s="6">
        <v>1101795</v>
      </c>
      <c r="C178" s="6" t="s">
        <v>308</v>
      </c>
      <c r="D178" s="5" t="s">
        <v>17</v>
      </c>
      <c r="E178" s="5" t="s">
        <v>12</v>
      </c>
      <c r="F178" s="5" t="s">
        <v>309</v>
      </c>
      <c r="G178" s="6"/>
      <c r="H178" s="5" t="s">
        <v>310</v>
      </c>
      <c r="I178" s="5"/>
      <c r="J178" s="6">
        <v>1550</v>
      </c>
    </row>
    <row r="179" spans="1:10" x14ac:dyDescent="0.3">
      <c r="A179" s="5">
        <v>178</v>
      </c>
      <c r="B179" s="6">
        <v>1017742</v>
      </c>
      <c r="C179" s="6" t="s">
        <v>311</v>
      </c>
      <c r="D179" s="5" t="s">
        <v>17</v>
      </c>
      <c r="E179" s="5" t="s">
        <v>12</v>
      </c>
      <c r="F179" s="5" t="s">
        <v>53</v>
      </c>
      <c r="G179" s="6" t="s">
        <v>74</v>
      </c>
      <c r="H179" s="9" t="s">
        <v>29</v>
      </c>
      <c r="I179" s="5" t="s">
        <v>312</v>
      </c>
      <c r="J179" s="6">
        <v>1700</v>
      </c>
    </row>
    <row r="180" spans="1:10" x14ac:dyDescent="0.3">
      <c r="A180" s="5">
        <v>179</v>
      </c>
      <c r="B180" s="6">
        <v>1100988</v>
      </c>
      <c r="C180" s="6" t="s">
        <v>313</v>
      </c>
      <c r="D180" s="5" t="s">
        <v>17</v>
      </c>
      <c r="E180" s="5" t="s">
        <v>12</v>
      </c>
      <c r="F180" s="5" t="s">
        <v>73</v>
      </c>
      <c r="G180" s="6" t="s">
        <v>74</v>
      </c>
      <c r="H180" s="5" t="s">
        <v>130</v>
      </c>
      <c r="I180" s="5" t="s">
        <v>314</v>
      </c>
      <c r="J180" s="6">
        <v>1700</v>
      </c>
    </row>
    <row r="181" spans="1:10" x14ac:dyDescent="0.3">
      <c r="A181" s="5">
        <v>180</v>
      </c>
      <c r="B181" s="6">
        <v>1017704</v>
      </c>
      <c r="C181" s="6" t="s">
        <v>315</v>
      </c>
      <c r="D181" s="5" t="s">
        <v>17</v>
      </c>
      <c r="E181" s="5" t="s">
        <v>12</v>
      </c>
      <c r="F181" s="5" t="s">
        <v>27</v>
      </c>
      <c r="G181" s="5" t="s">
        <v>28</v>
      </c>
      <c r="H181" s="5" t="s">
        <v>130</v>
      </c>
      <c r="I181" s="5" t="s">
        <v>316</v>
      </c>
      <c r="J181" s="6">
        <v>1700</v>
      </c>
    </row>
    <row r="182" spans="1:10" x14ac:dyDescent="0.3">
      <c r="A182" s="5">
        <v>181</v>
      </c>
      <c r="B182" s="6">
        <v>1101313</v>
      </c>
      <c r="C182" s="6" t="s">
        <v>317</v>
      </c>
      <c r="D182" s="5" t="s">
        <v>17</v>
      </c>
      <c r="E182" s="5" t="s">
        <v>12</v>
      </c>
      <c r="F182" s="5" t="s">
        <v>23</v>
      </c>
      <c r="G182" s="6" t="s">
        <v>114</v>
      </c>
      <c r="H182" s="5" t="s">
        <v>29</v>
      </c>
      <c r="I182" s="6" t="s">
        <v>223</v>
      </c>
      <c r="J182" s="6">
        <v>1700</v>
      </c>
    </row>
    <row r="183" spans="1:10" x14ac:dyDescent="0.3">
      <c r="A183" s="5">
        <v>182</v>
      </c>
      <c r="B183" s="6">
        <v>1014127</v>
      </c>
      <c r="C183" s="6" t="s">
        <v>318</v>
      </c>
      <c r="D183" s="5" t="s">
        <v>17</v>
      </c>
      <c r="E183" s="5" t="s">
        <v>12</v>
      </c>
      <c r="F183" s="5" t="s">
        <v>73</v>
      </c>
      <c r="G183" s="6" t="s">
        <v>74</v>
      </c>
      <c r="H183" s="5" t="s">
        <v>29</v>
      </c>
      <c r="I183" s="5" t="s">
        <v>29</v>
      </c>
      <c r="J183" s="6">
        <v>1400</v>
      </c>
    </row>
    <row r="184" spans="1:10" s="17" customFormat="1" ht="14.15" customHeight="1" x14ac:dyDescent="0.3">
      <c r="A184" s="5">
        <v>183</v>
      </c>
      <c r="B184" s="5">
        <v>1017632</v>
      </c>
      <c r="C184" s="7" t="s">
        <v>319</v>
      </c>
      <c r="D184" s="5" t="s">
        <v>17</v>
      </c>
      <c r="E184" s="5" t="s">
        <v>12</v>
      </c>
      <c r="F184" s="5" t="s">
        <v>73</v>
      </c>
      <c r="G184" s="6" t="s">
        <v>74</v>
      </c>
      <c r="H184" s="5" t="s">
        <v>84</v>
      </c>
      <c r="I184" s="5" t="s">
        <v>84</v>
      </c>
      <c r="J184" s="5">
        <v>1400</v>
      </c>
    </row>
    <row r="185" spans="1:10" s="17" customFormat="1" ht="14.15" customHeight="1" x14ac:dyDescent="0.3">
      <c r="A185" s="5">
        <v>184</v>
      </c>
      <c r="B185" s="5">
        <v>1015086</v>
      </c>
      <c r="C185" s="7" t="s">
        <v>320</v>
      </c>
      <c r="D185" s="5" t="s">
        <v>17</v>
      </c>
      <c r="E185" s="5" t="s">
        <v>12</v>
      </c>
      <c r="F185" s="5" t="s">
        <v>73</v>
      </c>
      <c r="G185" s="6" t="s">
        <v>74</v>
      </c>
      <c r="H185" s="5" t="s">
        <v>130</v>
      </c>
      <c r="I185" s="5" t="s">
        <v>321</v>
      </c>
      <c r="J185" s="5">
        <v>1800</v>
      </c>
    </row>
    <row r="186" spans="1:10" s="17" customFormat="1" ht="14.15" customHeight="1" x14ac:dyDescent="0.3">
      <c r="A186" s="5">
        <v>185</v>
      </c>
      <c r="B186" s="5">
        <v>1101424</v>
      </c>
      <c r="C186" s="7" t="s">
        <v>322</v>
      </c>
      <c r="D186" s="5" t="s">
        <v>17</v>
      </c>
      <c r="E186" s="5" t="s">
        <v>12</v>
      </c>
      <c r="F186" s="5" t="s">
        <v>53</v>
      </c>
      <c r="G186" s="5" t="s">
        <v>53</v>
      </c>
      <c r="H186" s="5" t="s">
        <v>29</v>
      </c>
      <c r="I186" s="5" t="s">
        <v>29</v>
      </c>
      <c r="J186" s="5">
        <v>1400</v>
      </c>
    </row>
    <row r="187" spans="1:10" s="17" customFormat="1" ht="14.15" customHeight="1" x14ac:dyDescent="0.3">
      <c r="A187" s="5">
        <v>186</v>
      </c>
      <c r="B187" s="5">
        <v>1013974</v>
      </c>
      <c r="C187" s="7" t="s">
        <v>323</v>
      </c>
      <c r="D187" s="5" t="s">
        <v>17</v>
      </c>
      <c r="E187" s="5" t="s">
        <v>12</v>
      </c>
      <c r="F187" s="5" t="s">
        <v>27</v>
      </c>
      <c r="G187" s="6" t="s">
        <v>28</v>
      </c>
      <c r="H187" s="5" t="s">
        <v>84</v>
      </c>
      <c r="I187" s="5" t="s">
        <v>84</v>
      </c>
      <c r="J187" s="5">
        <v>2100</v>
      </c>
    </row>
    <row r="188" spans="1:10" s="17" customFormat="1" ht="14.15" customHeight="1" x14ac:dyDescent="0.3">
      <c r="A188" s="5">
        <v>187</v>
      </c>
      <c r="B188" s="5">
        <v>1101815</v>
      </c>
      <c r="C188" s="7" t="s">
        <v>324</v>
      </c>
      <c r="D188" s="5" t="s">
        <v>17</v>
      </c>
      <c r="E188" s="5" t="s">
        <v>12</v>
      </c>
      <c r="F188" s="5" t="s">
        <v>27</v>
      </c>
      <c r="G188" s="6" t="s">
        <v>40</v>
      </c>
      <c r="H188" s="5" t="s">
        <v>29</v>
      </c>
      <c r="I188" s="5" t="s">
        <v>189</v>
      </c>
      <c r="J188" s="5">
        <v>1700</v>
      </c>
    </row>
    <row r="189" spans="1:10" s="17" customFormat="1" ht="14.15" customHeight="1" x14ac:dyDescent="0.3">
      <c r="A189" s="5">
        <v>188</v>
      </c>
      <c r="B189" s="5">
        <v>1101837</v>
      </c>
      <c r="C189" s="7" t="s">
        <v>325</v>
      </c>
      <c r="D189" s="5" t="s">
        <v>17</v>
      </c>
      <c r="E189" s="5" t="s">
        <v>12</v>
      </c>
      <c r="F189" s="5" t="s">
        <v>18</v>
      </c>
      <c r="G189" s="6" t="s">
        <v>178</v>
      </c>
      <c r="H189" s="5" t="s">
        <v>14</v>
      </c>
      <c r="I189" s="5" t="s">
        <v>191</v>
      </c>
      <c r="J189" s="5">
        <v>1200</v>
      </c>
    </row>
    <row r="190" spans="1:10" s="17" customFormat="1" ht="14.15" customHeight="1" x14ac:dyDescent="0.3">
      <c r="A190" s="5">
        <v>189</v>
      </c>
      <c r="B190" s="5">
        <v>1100837</v>
      </c>
      <c r="C190" s="7" t="s">
        <v>326</v>
      </c>
      <c r="D190" s="5" t="s">
        <v>17</v>
      </c>
      <c r="E190" s="5" t="s">
        <v>12</v>
      </c>
      <c r="F190" s="5" t="s">
        <v>18</v>
      </c>
      <c r="G190" s="6" t="s">
        <v>178</v>
      </c>
      <c r="H190" s="5" t="s">
        <v>29</v>
      </c>
      <c r="I190" s="5" t="s">
        <v>223</v>
      </c>
      <c r="J190" s="5">
        <v>1200</v>
      </c>
    </row>
    <row r="191" spans="1:10" s="17" customFormat="1" ht="14.15" customHeight="1" x14ac:dyDescent="0.3">
      <c r="A191" s="5">
        <v>190</v>
      </c>
      <c r="B191" s="5">
        <v>1101676</v>
      </c>
      <c r="C191" s="7" t="s">
        <v>327</v>
      </c>
      <c r="D191" s="5" t="s">
        <v>17</v>
      </c>
      <c r="E191" s="6" t="s">
        <v>12</v>
      </c>
      <c r="F191" s="5" t="s">
        <v>27</v>
      </c>
      <c r="G191" s="6" t="s">
        <v>28</v>
      </c>
      <c r="H191" s="5" t="s">
        <v>14</v>
      </c>
      <c r="I191" s="5" t="s">
        <v>191</v>
      </c>
      <c r="J191" s="5">
        <v>1400</v>
      </c>
    </row>
    <row r="192" spans="1:10" s="17" customFormat="1" ht="14.15" customHeight="1" x14ac:dyDescent="0.3">
      <c r="A192" s="5">
        <v>191</v>
      </c>
      <c r="B192" s="5">
        <v>1101854</v>
      </c>
      <c r="C192" s="7" t="s">
        <v>328</v>
      </c>
      <c r="D192" s="5" t="s">
        <v>17</v>
      </c>
      <c r="E192" s="6" t="s">
        <v>12</v>
      </c>
      <c r="F192" s="5" t="s">
        <v>27</v>
      </c>
      <c r="G192" s="6" t="s">
        <v>28</v>
      </c>
      <c r="H192" s="5" t="s">
        <v>14</v>
      </c>
      <c r="I192" s="5" t="s">
        <v>191</v>
      </c>
      <c r="J192" s="5">
        <v>1400</v>
      </c>
    </row>
    <row r="193" spans="1:10" s="17" customFormat="1" ht="14.15" customHeight="1" x14ac:dyDescent="0.3">
      <c r="A193" s="5">
        <v>192</v>
      </c>
      <c r="B193" s="5">
        <v>1102064</v>
      </c>
      <c r="C193" s="7" t="s">
        <v>329</v>
      </c>
      <c r="D193" s="5" t="s">
        <v>17</v>
      </c>
      <c r="E193" s="6" t="s">
        <v>12</v>
      </c>
      <c r="F193" s="5" t="s">
        <v>50</v>
      </c>
      <c r="G193" s="5" t="s">
        <v>261</v>
      </c>
      <c r="H193" s="5" t="s">
        <v>84</v>
      </c>
      <c r="I193" s="5" t="s">
        <v>84</v>
      </c>
      <c r="J193" s="5">
        <v>1200</v>
      </c>
    </row>
    <row r="194" spans="1:10" s="17" customFormat="1" ht="14.15" customHeight="1" x14ac:dyDescent="0.3">
      <c r="A194" s="5">
        <v>193</v>
      </c>
      <c r="B194" s="5">
        <v>1102100</v>
      </c>
      <c r="C194" s="7" t="s">
        <v>330</v>
      </c>
      <c r="D194" s="5" t="s">
        <v>17</v>
      </c>
      <c r="E194" s="5" t="s">
        <v>12</v>
      </c>
      <c r="F194" s="5" t="s">
        <v>27</v>
      </c>
      <c r="G194" s="6" t="s">
        <v>40</v>
      </c>
      <c r="H194" s="5" t="s">
        <v>29</v>
      </c>
      <c r="I194" s="5"/>
      <c r="J194" s="5">
        <v>1700</v>
      </c>
    </row>
    <row r="195" spans="1:10" s="17" customFormat="1" ht="14.15" customHeight="1" x14ac:dyDescent="0.3">
      <c r="A195" s="5">
        <v>194</v>
      </c>
      <c r="B195" s="5">
        <v>1012234</v>
      </c>
      <c r="C195" s="7" t="s">
        <v>331</v>
      </c>
      <c r="D195" s="5" t="s">
        <v>17</v>
      </c>
      <c r="E195" s="5" t="s">
        <v>12</v>
      </c>
      <c r="F195" s="5" t="s">
        <v>60</v>
      </c>
      <c r="G195" s="6" t="s">
        <v>79</v>
      </c>
      <c r="H195" s="5" t="s">
        <v>14</v>
      </c>
      <c r="I195" s="5" t="s">
        <v>191</v>
      </c>
      <c r="J195" s="5">
        <v>1700</v>
      </c>
    </row>
    <row r="196" spans="1:10" s="17" customFormat="1" ht="14.15" customHeight="1" x14ac:dyDescent="0.3">
      <c r="A196" s="5">
        <v>195</v>
      </c>
      <c r="B196" s="5">
        <v>1102171</v>
      </c>
      <c r="C196" s="7" t="s">
        <v>332</v>
      </c>
      <c r="D196" s="5" t="s">
        <v>17</v>
      </c>
      <c r="E196" s="5" t="s">
        <v>12</v>
      </c>
      <c r="F196" s="5" t="s">
        <v>18</v>
      </c>
      <c r="G196" s="6" t="s">
        <v>178</v>
      </c>
      <c r="H196" s="5" t="s">
        <v>14</v>
      </c>
      <c r="I196" s="5" t="s">
        <v>191</v>
      </c>
      <c r="J196" s="5">
        <v>1200</v>
      </c>
    </row>
    <row r="197" spans="1:10" s="17" customFormat="1" ht="14.15" customHeight="1" x14ac:dyDescent="0.3">
      <c r="A197" s="5">
        <v>196</v>
      </c>
      <c r="B197" s="5">
        <v>1102205</v>
      </c>
      <c r="C197" s="7" t="s">
        <v>333</v>
      </c>
      <c r="D197" s="5" t="s">
        <v>17</v>
      </c>
      <c r="E197" s="5" t="s">
        <v>12</v>
      </c>
      <c r="F197" s="6" t="s">
        <v>32</v>
      </c>
      <c r="G197" s="6" t="s">
        <v>33</v>
      </c>
      <c r="H197" s="5" t="s">
        <v>253</v>
      </c>
      <c r="I197" s="5"/>
      <c r="J197" s="5">
        <v>1700</v>
      </c>
    </row>
    <row r="198" spans="1:10" s="17" customFormat="1" ht="14.15" customHeight="1" x14ac:dyDescent="0.3">
      <c r="A198" s="5">
        <v>197</v>
      </c>
      <c r="B198" s="5">
        <v>1102132</v>
      </c>
      <c r="C198" s="7" t="s">
        <v>334</v>
      </c>
      <c r="D198" s="6" t="s">
        <v>17</v>
      </c>
      <c r="E198" s="5" t="s">
        <v>12</v>
      </c>
      <c r="F198" s="6" t="s">
        <v>165</v>
      </c>
      <c r="G198" s="6" t="s">
        <v>335</v>
      </c>
      <c r="H198" s="11" t="s">
        <v>14</v>
      </c>
      <c r="I198" s="5" t="s">
        <v>191</v>
      </c>
      <c r="J198" s="5">
        <v>1400</v>
      </c>
    </row>
    <row r="199" spans="1:10" s="17" customFormat="1" ht="14.15" customHeight="1" x14ac:dyDescent="0.3">
      <c r="A199" s="5">
        <v>198</v>
      </c>
      <c r="B199" s="5">
        <v>1101512</v>
      </c>
      <c r="C199" s="7" t="s">
        <v>336</v>
      </c>
      <c r="D199" s="6" t="s">
        <v>17</v>
      </c>
      <c r="E199" s="5" t="s">
        <v>12</v>
      </c>
      <c r="F199" s="6" t="s">
        <v>18</v>
      </c>
      <c r="G199" s="6" t="s">
        <v>19</v>
      </c>
      <c r="H199" s="5" t="s">
        <v>29</v>
      </c>
      <c r="I199" s="5"/>
      <c r="J199" s="5">
        <v>1200</v>
      </c>
    </row>
    <row r="200" spans="1:10" s="17" customFormat="1" ht="14.15" customHeight="1" x14ac:dyDescent="0.3">
      <c r="A200" s="5">
        <v>199</v>
      </c>
      <c r="B200" s="5">
        <v>1101708</v>
      </c>
      <c r="C200" s="7" t="s">
        <v>337</v>
      </c>
      <c r="D200" s="6" t="s">
        <v>17</v>
      </c>
      <c r="E200" s="5" t="s">
        <v>12</v>
      </c>
      <c r="F200" s="6" t="s">
        <v>27</v>
      </c>
      <c r="G200" s="6" t="s">
        <v>28</v>
      </c>
      <c r="H200" s="5" t="s">
        <v>130</v>
      </c>
      <c r="I200" s="5"/>
      <c r="J200" s="5">
        <v>1700</v>
      </c>
    </row>
    <row r="201" spans="1:10" s="17" customFormat="1" ht="14.15" customHeight="1" x14ac:dyDescent="0.3">
      <c r="A201" s="5">
        <v>200</v>
      </c>
      <c r="B201" s="5">
        <v>1102035</v>
      </c>
      <c r="C201" s="7" t="s">
        <v>338</v>
      </c>
      <c r="D201" s="5" t="s">
        <v>17</v>
      </c>
      <c r="E201" s="5" t="s">
        <v>12</v>
      </c>
      <c r="F201" s="5" t="s">
        <v>100</v>
      </c>
      <c r="G201" s="5" t="s">
        <v>101</v>
      </c>
      <c r="H201" s="5" t="s">
        <v>29</v>
      </c>
      <c r="I201" s="5"/>
      <c r="J201" s="5">
        <v>1200</v>
      </c>
    </row>
    <row r="202" spans="1:10" s="17" customFormat="1" ht="14.15" customHeight="1" x14ac:dyDescent="0.3">
      <c r="A202" s="5">
        <v>201</v>
      </c>
      <c r="B202" s="5">
        <v>1101761</v>
      </c>
      <c r="C202" s="7" t="s">
        <v>339</v>
      </c>
      <c r="D202" s="5" t="s">
        <v>17</v>
      </c>
      <c r="E202" s="5" t="s">
        <v>12</v>
      </c>
      <c r="F202" s="5" t="s">
        <v>27</v>
      </c>
      <c r="G202" s="6" t="s">
        <v>40</v>
      </c>
      <c r="H202" s="5" t="s">
        <v>130</v>
      </c>
      <c r="I202" s="5" t="s">
        <v>340</v>
      </c>
      <c r="J202" s="5">
        <v>1400</v>
      </c>
    </row>
    <row r="203" spans="1:10" s="17" customFormat="1" ht="14.15" customHeight="1" x14ac:dyDescent="0.3">
      <c r="A203" s="5">
        <v>202</v>
      </c>
      <c r="B203" s="5">
        <v>1102283</v>
      </c>
      <c r="C203" s="7" t="s">
        <v>341</v>
      </c>
      <c r="D203" s="5" t="s">
        <v>17</v>
      </c>
      <c r="E203" s="5" t="s">
        <v>12</v>
      </c>
      <c r="F203" s="5" t="s">
        <v>27</v>
      </c>
      <c r="G203" s="5" t="s">
        <v>28</v>
      </c>
      <c r="H203" s="5" t="s">
        <v>29</v>
      </c>
      <c r="I203" s="5"/>
      <c r="J203" s="5">
        <v>1700</v>
      </c>
    </row>
    <row r="204" spans="1:10" s="17" customFormat="1" ht="14.15" customHeight="1" x14ac:dyDescent="0.3">
      <c r="A204" s="5">
        <v>203</v>
      </c>
      <c r="B204" s="5">
        <v>1602253</v>
      </c>
      <c r="C204" s="7" t="s">
        <v>342</v>
      </c>
      <c r="D204" s="5" t="s">
        <v>17</v>
      </c>
      <c r="E204" s="6" t="s">
        <v>12</v>
      </c>
      <c r="F204" s="5" t="s">
        <v>23</v>
      </c>
      <c r="G204" s="6" t="s">
        <v>114</v>
      </c>
      <c r="H204" s="5" t="s">
        <v>14</v>
      </c>
      <c r="I204" s="5" t="s">
        <v>14</v>
      </c>
      <c r="J204" s="5">
        <v>2400</v>
      </c>
    </row>
    <row r="205" spans="1:10" s="17" customFormat="1" ht="14.15" customHeight="1" x14ac:dyDescent="0.3">
      <c r="A205" s="5">
        <v>204</v>
      </c>
      <c r="B205" s="5">
        <v>1101813</v>
      </c>
      <c r="C205" s="7" t="s">
        <v>343</v>
      </c>
      <c r="D205" s="5" t="s">
        <v>17</v>
      </c>
      <c r="E205" s="6" t="s">
        <v>12</v>
      </c>
      <c r="F205" s="5" t="s">
        <v>18</v>
      </c>
      <c r="G205" s="6" t="s">
        <v>178</v>
      </c>
      <c r="H205" s="5" t="s">
        <v>29</v>
      </c>
      <c r="I205" s="5"/>
      <c r="J205" s="5">
        <v>1200</v>
      </c>
    </row>
    <row r="206" spans="1:10" s="17" customFormat="1" ht="14.15" customHeight="1" x14ac:dyDescent="0.3">
      <c r="A206" s="5">
        <v>205</v>
      </c>
      <c r="B206" s="5">
        <v>1101711</v>
      </c>
      <c r="C206" s="7" t="s">
        <v>344</v>
      </c>
      <c r="D206" s="5" t="s">
        <v>17</v>
      </c>
      <c r="E206" s="6" t="s">
        <v>12</v>
      </c>
      <c r="F206" s="5" t="s">
        <v>18</v>
      </c>
      <c r="G206" s="6" t="s">
        <v>178</v>
      </c>
      <c r="H206" s="5" t="s">
        <v>29</v>
      </c>
      <c r="I206" s="5"/>
      <c r="J206" s="5">
        <v>1200</v>
      </c>
    </row>
    <row r="207" spans="1:10" s="17" customFormat="1" ht="14.15" customHeight="1" x14ac:dyDescent="0.3">
      <c r="A207" s="5">
        <v>206</v>
      </c>
      <c r="B207" s="5">
        <v>1102117</v>
      </c>
      <c r="C207" s="7" t="s">
        <v>345</v>
      </c>
      <c r="D207" s="5" t="s">
        <v>17</v>
      </c>
      <c r="E207" s="6" t="s">
        <v>12</v>
      </c>
      <c r="F207" s="5" t="s">
        <v>18</v>
      </c>
      <c r="G207" s="6" t="s">
        <v>178</v>
      </c>
      <c r="H207" s="5" t="s">
        <v>29</v>
      </c>
      <c r="I207" s="5"/>
      <c r="J207" s="5">
        <v>1200</v>
      </c>
    </row>
    <row r="208" spans="1:10" s="17" customFormat="1" ht="14.15" customHeight="1" x14ac:dyDescent="0.3">
      <c r="A208" s="5">
        <v>207</v>
      </c>
      <c r="B208" s="5">
        <v>1101065</v>
      </c>
      <c r="C208" s="7" t="s">
        <v>346</v>
      </c>
      <c r="D208" s="5" t="s">
        <v>17</v>
      </c>
      <c r="E208" s="6" t="s">
        <v>12</v>
      </c>
      <c r="F208" s="5" t="s">
        <v>18</v>
      </c>
      <c r="G208" s="6" t="s">
        <v>19</v>
      </c>
      <c r="H208" s="5" t="s">
        <v>29</v>
      </c>
      <c r="I208" s="5"/>
      <c r="J208" s="5">
        <v>1400</v>
      </c>
    </row>
    <row r="209" spans="1:10" s="17" customFormat="1" ht="14.15" customHeight="1" x14ac:dyDescent="0.3">
      <c r="A209" s="5">
        <v>208</v>
      </c>
      <c r="B209" s="5">
        <v>1102381</v>
      </c>
      <c r="C209" s="7" t="s">
        <v>347</v>
      </c>
      <c r="D209" s="5" t="s">
        <v>17</v>
      </c>
      <c r="E209" s="6" t="s">
        <v>12</v>
      </c>
      <c r="F209" s="5" t="s">
        <v>73</v>
      </c>
      <c r="G209" s="6" t="s">
        <v>74</v>
      </c>
      <c r="H209" s="5" t="s">
        <v>218</v>
      </c>
      <c r="I209" s="5" t="s">
        <v>219</v>
      </c>
      <c r="J209" s="5">
        <v>1400</v>
      </c>
    </row>
    <row r="210" spans="1:10" s="17" customFormat="1" ht="14.15" customHeight="1" x14ac:dyDescent="0.3">
      <c r="A210" s="5">
        <v>209</v>
      </c>
      <c r="B210" s="5">
        <v>1101765</v>
      </c>
      <c r="C210" s="7" t="s">
        <v>348</v>
      </c>
      <c r="D210" s="5" t="s">
        <v>17</v>
      </c>
      <c r="E210" s="6" t="s">
        <v>12</v>
      </c>
      <c r="F210" s="5" t="s">
        <v>27</v>
      </c>
      <c r="G210" s="5" t="s">
        <v>28</v>
      </c>
      <c r="H210" s="5" t="s">
        <v>130</v>
      </c>
      <c r="I210" s="5"/>
      <c r="J210" s="5">
        <v>1700</v>
      </c>
    </row>
    <row r="211" spans="1:10" s="17" customFormat="1" ht="14.15" customHeight="1" x14ac:dyDescent="0.3">
      <c r="A211" s="5">
        <v>210</v>
      </c>
      <c r="B211" s="5">
        <v>1102109</v>
      </c>
      <c r="C211" s="7" t="s">
        <v>349</v>
      </c>
      <c r="D211" s="5" t="s">
        <v>17</v>
      </c>
      <c r="E211" s="6" t="s">
        <v>12</v>
      </c>
      <c r="F211" s="5" t="s">
        <v>100</v>
      </c>
      <c r="G211" s="5" t="s">
        <v>101</v>
      </c>
      <c r="H211" s="5" t="s">
        <v>130</v>
      </c>
      <c r="I211" s="5" t="s">
        <v>206</v>
      </c>
      <c r="J211" s="5">
        <v>1700</v>
      </c>
    </row>
    <row r="212" spans="1:10" s="17" customFormat="1" ht="14.15" customHeight="1" x14ac:dyDescent="0.3">
      <c r="A212" s="5">
        <v>211</v>
      </c>
      <c r="B212" s="5">
        <v>1013920</v>
      </c>
      <c r="C212" s="7" t="s">
        <v>350</v>
      </c>
      <c r="D212" s="5" t="s">
        <v>17</v>
      </c>
      <c r="E212" s="6" t="s">
        <v>12</v>
      </c>
      <c r="F212" s="5" t="s">
        <v>60</v>
      </c>
      <c r="G212" s="6" t="s">
        <v>79</v>
      </c>
      <c r="H212" s="5" t="s">
        <v>29</v>
      </c>
      <c r="I212" s="5"/>
      <c r="J212" s="5">
        <v>2100</v>
      </c>
    </row>
    <row r="213" spans="1:10" s="17" customFormat="1" ht="14.15" customHeight="1" x14ac:dyDescent="0.3">
      <c r="A213" s="5">
        <v>212</v>
      </c>
      <c r="B213" s="5">
        <v>1102379</v>
      </c>
      <c r="C213" s="7" t="s">
        <v>351</v>
      </c>
      <c r="D213" s="5" t="s">
        <v>17</v>
      </c>
      <c r="E213" s="6" t="s">
        <v>12</v>
      </c>
      <c r="F213" s="5" t="s">
        <v>73</v>
      </c>
      <c r="G213" s="6" t="s">
        <v>74</v>
      </c>
      <c r="H213" s="5" t="s">
        <v>29</v>
      </c>
      <c r="I213" s="5"/>
      <c r="J213" s="5">
        <v>1700</v>
      </c>
    </row>
    <row r="214" spans="1:10" s="17" customFormat="1" ht="14.15" customHeight="1" x14ac:dyDescent="0.3">
      <c r="A214" s="5">
        <v>213</v>
      </c>
      <c r="B214" s="5">
        <v>1102115</v>
      </c>
      <c r="C214" s="7" t="s">
        <v>352</v>
      </c>
      <c r="D214" s="5" t="s">
        <v>17</v>
      </c>
      <c r="E214" s="6" t="s">
        <v>12</v>
      </c>
      <c r="F214" s="5" t="s">
        <v>100</v>
      </c>
      <c r="G214" s="5" t="s">
        <v>101</v>
      </c>
      <c r="H214" s="5" t="s">
        <v>130</v>
      </c>
      <c r="I214" s="5" t="s">
        <v>206</v>
      </c>
      <c r="J214" s="5">
        <v>1700</v>
      </c>
    </row>
    <row r="215" spans="1:10" s="17" customFormat="1" ht="14.15" customHeight="1" x14ac:dyDescent="0.3">
      <c r="A215" s="5">
        <v>214</v>
      </c>
      <c r="B215" s="5"/>
      <c r="C215" s="7" t="s">
        <v>353</v>
      </c>
      <c r="D215" s="5" t="s">
        <v>17</v>
      </c>
      <c r="E215" s="6" t="s">
        <v>12</v>
      </c>
      <c r="F215" s="5" t="s">
        <v>23</v>
      </c>
      <c r="G215" s="6" t="s">
        <v>114</v>
      </c>
      <c r="H215" s="5" t="s">
        <v>14</v>
      </c>
      <c r="I215" s="5" t="s">
        <v>191</v>
      </c>
      <c r="J215" s="5">
        <v>2100</v>
      </c>
    </row>
    <row r="216" spans="1:10" s="17" customFormat="1" ht="14.15" customHeight="1" x14ac:dyDescent="0.3">
      <c r="A216" s="5">
        <v>215</v>
      </c>
      <c r="B216" s="5"/>
      <c r="C216" s="7" t="s">
        <v>354</v>
      </c>
      <c r="D216" s="5" t="s">
        <v>164</v>
      </c>
      <c r="E216" s="6" t="s">
        <v>12</v>
      </c>
      <c r="F216" s="5" t="s">
        <v>73</v>
      </c>
      <c r="G216" s="6" t="s">
        <v>74</v>
      </c>
      <c r="H216" s="5" t="s">
        <v>130</v>
      </c>
      <c r="I216" s="5"/>
      <c r="J216" s="5"/>
    </row>
    <row r="217" spans="1:10" s="17" customFormat="1" ht="14.15" customHeight="1" x14ac:dyDescent="0.3">
      <c r="A217" s="5">
        <v>216</v>
      </c>
      <c r="B217" s="5"/>
      <c r="C217" s="7" t="s">
        <v>355</v>
      </c>
      <c r="D217" s="5" t="s">
        <v>164</v>
      </c>
      <c r="E217" s="6" t="s">
        <v>12</v>
      </c>
      <c r="F217" s="5" t="s">
        <v>73</v>
      </c>
      <c r="G217" s="6" t="s">
        <v>74</v>
      </c>
      <c r="H217" s="5" t="s">
        <v>130</v>
      </c>
      <c r="I217" s="5"/>
      <c r="J217" s="5"/>
    </row>
    <row r="218" spans="1:10" s="17" customFormat="1" ht="14.15" customHeight="1" x14ac:dyDescent="0.3">
      <c r="A218" s="5">
        <v>216</v>
      </c>
      <c r="B218" s="5"/>
      <c r="C218" s="7" t="s">
        <v>356</v>
      </c>
      <c r="D218" s="5" t="s">
        <v>164</v>
      </c>
      <c r="E218" s="6" t="s">
        <v>12</v>
      </c>
      <c r="F218" s="5" t="s">
        <v>73</v>
      </c>
      <c r="G218" s="6" t="s">
        <v>74</v>
      </c>
      <c r="H218" s="5" t="s">
        <v>34</v>
      </c>
      <c r="I218" s="5"/>
      <c r="J218" s="5"/>
    </row>
    <row r="219" spans="1:10" s="17" customFormat="1" ht="14.15" customHeight="1" x14ac:dyDescent="0.3">
      <c r="A219" s="5">
        <v>218</v>
      </c>
      <c r="B219" s="5">
        <v>1102360</v>
      </c>
      <c r="C219" s="7" t="s">
        <v>357</v>
      </c>
      <c r="D219" s="5" t="s">
        <v>17</v>
      </c>
      <c r="E219" s="6" t="s">
        <v>358</v>
      </c>
      <c r="F219" s="5" t="s">
        <v>73</v>
      </c>
      <c r="G219" s="6" t="s">
        <v>95</v>
      </c>
      <c r="H219" s="5" t="s">
        <v>29</v>
      </c>
      <c r="I219" s="5"/>
      <c r="J219" s="5">
        <v>1400</v>
      </c>
    </row>
    <row r="220" spans="1:10" s="17" customFormat="1" ht="14.15" customHeight="1" x14ac:dyDescent="0.3">
      <c r="A220" s="5">
        <v>219</v>
      </c>
      <c r="B220" s="5">
        <v>1100814</v>
      </c>
      <c r="C220" s="7" t="s">
        <v>359</v>
      </c>
      <c r="D220" s="5" t="s">
        <v>17</v>
      </c>
      <c r="E220" s="6" t="s">
        <v>12</v>
      </c>
      <c r="F220" s="6" t="s">
        <v>32</v>
      </c>
      <c r="G220" s="6" t="s">
        <v>33</v>
      </c>
      <c r="H220" s="5" t="s">
        <v>130</v>
      </c>
      <c r="I220" s="5" t="s">
        <v>206</v>
      </c>
      <c r="J220" s="5">
        <v>1200</v>
      </c>
    </row>
    <row r="221" spans="1:10" s="17" customFormat="1" ht="14.15" customHeight="1" x14ac:dyDescent="0.3">
      <c r="A221" s="5"/>
      <c r="B221" s="6"/>
      <c r="C221" s="25"/>
      <c r="D221" s="25"/>
      <c r="E221" s="25"/>
      <c r="F221" s="26"/>
      <c r="G221" s="26"/>
      <c r="H221" s="25"/>
      <c r="I221" s="25"/>
      <c r="J221" s="25"/>
    </row>
    <row r="222" spans="1:10" ht="14.15" customHeight="1" x14ac:dyDescent="0.3">
      <c r="A222" s="16"/>
      <c r="B222" s="9"/>
      <c r="C222" s="9"/>
      <c r="D222" s="9"/>
      <c r="E222" s="9"/>
      <c r="F222" s="9"/>
      <c r="G222" s="9"/>
      <c r="H222" s="9"/>
      <c r="I222" s="9"/>
      <c r="J222" s="9"/>
    </row>
    <row r="223" spans="1:10" x14ac:dyDescent="0.3">
      <c r="A223" s="16"/>
      <c r="B223" s="9"/>
      <c r="C223" s="9"/>
      <c r="D223" s="9"/>
      <c r="E223" s="9"/>
      <c r="F223" s="9"/>
      <c r="G223" s="9"/>
      <c r="H223" s="9"/>
      <c r="I223" s="9"/>
      <c r="J223" s="9"/>
    </row>
    <row r="224" spans="1:10" x14ac:dyDescent="0.3">
      <c r="A224" s="16"/>
      <c r="B224" s="9"/>
      <c r="C224" s="9"/>
      <c r="D224" s="9"/>
      <c r="E224" s="9"/>
      <c r="F224" s="9"/>
      <c r="G224" s="9"/>
      <c r="H224" s="9"/>
      <c r="I224" s="9"/>
      <c r="J224" s="9"/>
    </row>
    <row r="225" spans="1:10" x14ac:dyDescent="0.3">
      <c r="A225" s="16"/>
      <c r="B225" s="9"/>
      <c r="C225" s="9"/>
      <c r="D225" s="9"/>
      <c r="E225" s="9"/>
      <c r="F225" s="9"/>
      <c r="G225" s="9"/>
      <c r="H225" s="9"/>
      <c r="I225" s="9"/>
      <c r="J225" s="9"/>
    </row>
    <row r="226" spans="1:10" x14ac:dyDescent="0.3">
      <c r="A226" s="16"/>
      <c r="B226" s="9"/>
      <c r="C226" s="9"/>
      <c r="D226" s="9"/>
      <c r="E226" s="9"/>
      <c r="F226" s="9"/>
      <c r="G226" s="9"/>
      <c r="H226" s="9"/>
      <c r="I226" s="9"/>
      <c r="J226" s="9"/>
    </row>
    <row r="227" spans="1:10" x14ac:dyDescent="0.3">
      <c r="A227" s="16"/>
      <c r="B227" s="9"/>
      <c r="C227" s="9"/>
      <c r="D227" s="9"/>
      <c r="E227" s="9"/>
      <c r="F227" s="9"/>
      <c r="G227" s="9"/>
      <c r="H227" s="9"/>
      <c r="I227" s="9"/>
      <c r="J227" s="9"/>
    </row>
    <row r="228" spans="1:10" x14ac:dyDescent="0.3">
      <c r="A228" s="16"/>
      <c r="B228" s="9"/>
      <c r="C228" s="9"/>
      <c r="D228" s="9"/>
      <c r="E228" s="9"/>
      <c r="F228" s="9"/>
      <c r="G228" s="9"/>
      <c r="H228" s="9"/>
      <c r="I228" s="9"/>
      <c r="J228" s="9"/>
    </row>
    <row r="229" spans="1:10" x14ac:dyDescent="0.3">
      <c r="A229" s="16"/>
      <c r="B229" s="9"/>
      <c r="C229" s="9"/>
      <c r="D229" s="9"/>
      <c r="E229" s="9"/>
      <c r="F229" s="9"/>
      <c r="G229" s="9"/>
      <c r="H229" s="9"/>
      <c r="I229" s="9"/>
      <c r="J229" s="9"/>
    </row>
    <row r="230" spans="1:10" x14ac:dyDescent="0.3">
      <c r="A230" s="16"/>
      <c r="B230" s="9"/>
      <c r="C230" s="9"/>
      <c r="D230" s="9"/>
      <c r="E230" s="9"/>
      <c r="F230" s="9"/>
      <c r="G230" s="9"/>
      <c r="H230" s="9"/>
      <c r="I230" s="9"/>
      <c r="J230" s="9"/>
    </row>
    <row r="231" spans="1:10" x14ac:dyDescent="0.3">
      <c r="A231" s="16"/>
      <c r="B231" s="9"/>
      <c r="C231" s="9"/>
      <c r="D231" s="9"/>
      <c r="E231" s="9"/>
      <c r="F231" s="9"/>
      <c r="G231" s="9"/>
      <c r="H231" s="9"/>
      <c r="I231" s="9"/>
      <c r="J231" s="9"/>
    </row>
    <row r="232" spans="1:10" x14ac:dyDescent="0.3">
      <c r="A232" s="16"/>
      <c r="B232" s="9"/>
      <c r="C232" s="9"/>
      <c r="D232" s="9"/>
      <c r="E232" s="9"/>
      <c r="F232" s="9"/>
      <c r="G232" s="9"/>
      <c r="H232" s="9"/>
      <c r="I232" s="9"/>
      <c r="J232" s="9"/>
    </row>
    <row r="233" spans="1:10" x14ac:dyDescent="0.3">
      <c r="A233" s="16"/>
      <c r="B233" s="9"/>
      <c r="C233" s="9"/>
      <c r="D233" s="9"/>
      <c r="E233" s="9"/>
      <c r="F233" s="9"/>
      <c r="G233" s="9"/>
      <c r="H233" s="9"/>
      <c r="I233" s="9"/>
      <c r="J233" s="9"/>
    </row>
    <row r="234" spans="1:10" x14ac:dyDescent="0.3">
      <c r="A234" s="16"/>
      <c r="B234" s="9"/>
      <c r="C234" s="9"/>
      <c r="D234" s="9"/>
      <c r="E234" s="9"/>
      <c r="F234" s="9"/>
      <c r="G234" s="9"/>
      <c r="H234" s="9"/>
      <c r="I234" s="9"/>
      <c r="J234" s="9"/>
    </row>
    <row r="235" spans="1:10" x14ac:dyDescent="0.3">
      <c r="A235" s="16"/>
      <c r="B235" s="9"/>
      <c r="C235" s="9"/>
      <c r="D235" s="9"/>
      <c r="E235" s="9"/>
      <c r="F235" s="9"/>
      <c r="G235" s="9"/>
      <c r="H235" s="9"/>
      <c r="I235" s="9"/>
      <c r="J235" s="9"/>
    </row>
    <row r="236" spans="1:10" x14ac:dyDescent="0.3">
      <c r="A236" s="16"/>
      <c r="B236" s="9"/>
      <c r="C236" s="9"/>
      <c r="D236" s="9"/>
      <c r="E236" s="9"/>
      <c r="F236" s="9"/>
      <c r="G236" s="9"/>
      <c r="H236" s="9"/>
      <c r="I236" s="9"/>
      <c r="J236" s="9"/>
    </row>
    <row r="237" spans="1:10" x14ac:dyDescent="0.3">
      <c r="A237" s="16"/>
      <c r="B237" s="9"/>
      <c r="C237" s="9"/>
      <c r="D237" s="9"/>
      <c r="E237" s="9"/>
      <c r="F237" s="9"/>
      <c r="G237" s="9"/>
      <c r="H237" s="9"/>
      <c r="I237" s="9"/>
      <c r="J237" s="9"/>
    </row>
    <row r="253" spans="3:5" ht="16" x14ac:dyDescent="0.4">
      <c r="C253"/>
      <c r="D253"/>
      <c r="E253"/>
    </row>
    <row r="254" spans="3:5" ht="16" x14ac:dyDescent="0.4">
      <c r="C254"/>
      <c r="D254"/>
      <c r="E254"/>
    </row>
    <row r="255" spans="3:5" ht="16" x14ac:dyDescent="0.4">
      <c r="C255"/>
      <c r="D255"/>
      <c r="E255"/>
    </row>
    <row r="256" spans="3:5" ht="16" x14ac:dyDescent="0.4">
      <c r="C256"/>
      <c r="D256"/>
      <c r="E256"/>
    </row>
    <row r="257" spans="3:5" ht="16" x14ac:dyDescent="0.4">
      <c r="C257"/>
      <c r="D257"/>
      <c r="E257"/>
    </row>
    <row r="258" spans="3:5" ht="16" x14ac:dyDescent="0.4">
      <c r="C258"/>
      <c r="D258"/>
      <c r="E258"/>
    </row>
    <row r="259" spans="3:5" ht="16" x14ac:dyDescent="0.4">
      <c r="C259"/>
      <c r="D259"/>
      <c r="E259"/>
    </row>
    <row r="260" spans="3:5" ht="16" x14ac:dyDescent="0.4">
      <c r="C260"/>
      <c r="D260"/>
      <c r="E260"/>
    </row>
    <row r="261" spans="3:5" ht="16" x14ac:dyDescent="0.4">
      <c r="C261"/>
      <c r="D261"/>
      <c r="E261"/>
    </row>
    <row r="262" spans="3:5" ht="16" x14ac:dyDescent="0.4">
      <c r="C262"/>
      <c r="D262"/>
      <c r="E262"/>
    </row>
    <row r="263" spans="3:5" ht="16" x14ac:dyDescent="0.4">
      <c r="C263"/>
      <c r="D263"/>
      <c r="E263"/>
    </row>
    <row r="264" spans="3:5" ht="16" x14ac:dyDescent="0.4">
      <c r="C264"/>
      <c r="D264"/>
      <c r="E264"/>
    </row>
    <row r="265" spans="3:5" ht="16" x14ac:dyDescent="0.4">
      <c r="C265"/>
      <c r="D265"/>
      <c r="E265"/>
    </row>
    <row r="266" spans="3:5" ht="16" x14ac:dyDescent="0.4">
      <c r="C266"/>
      <c r="D266"/>
      <c r="E266"/>
    </row>
    <row r="267" spans="3:5" ht="16" x14ac:dyDescent="0.4">
      <c r="C267"/>
      <c r="D267"/>
      <c r="E267"/>
    </row>
    <row r="268" spans="3:5" ht="16" x14ac:dyDescent="0.4">
      <c r="C268"/>
      <c r="D268"/>
      <c r="E268"/>
    </row>
    <row r="269" spans="3:5" ht="16" x14ac:dyDescent="0.4">
      <c r="C269"/>
      <c r="D269"/>
      <c r="E269"/>
    </row>
    <row r="270" spans="3:5" ht="16" x14ac:dyDescent="0.4">
      <c r="C270"/>
      <c r="D270"/>
      <c r="E270"/>
    </row>
  </sheetData>
  <conditionalFormatting sqref="B83">
    <cfRule type="duplicateValues" dxfId="152" priority="122"/>
    <cfRule type="duplicateValues" dxfId="151" priority="123"/>
    <cfRule type="duplicateValues" dxfId="150" priority="124"/>
    <cfRule type="duplicateValues" dxfId="149" priority="125"/>
    <cfRule type="duplicateValues" dxfId="148" priority="126"/>
    <cfRule type="duplicateValues" dxfId="147" priority="127"/>
    <cfRule type="duplicateValues" dxfId="146" priority="128"/>
    <cfRule type="duplicateValues" dxfId="145" priority="129"/>
  </conditionalFormatting>
  <conditionalFormatting sqref="B95">
    <cfRule type="duplicateValues" dxfId="144" priority="17"/>
    <cfRule type="duplicateValues" dxfId="143" priority="18"/>
    <cfRule type="duplicateValues" dxfId="142" priority="19"/>
    <cfRule type="duplicateValues" dxfId="141" priority="20"/>
    <cfRule type="duplicateValues" dxfId="140" priority="21"/>
    <cfRule type="duplicateValues" dxfId="139" priority="22"/>
    <cfRule type="duplicateValues" dxfId="138" priority="23"/>
    <cfRule type="duplicateValues" dxfId="137" priority="24"/>
  </conditionalFormatting>
  <conditionalFormatting sqref="B96">
    <cfRule type="duplicateValues" dxfId="136" priority="25"/>
    <cfRule type="duplicateValues" dxfId="135" priority="26"/>
    <cfRule type="duplicateValues" dxfId="134" priority="27"/>
    <cfRule type="duplicateValues" dxfId="133" priority="28"/>
    <cfRule type="duplicateValues" dxfId="132" priority="29"/>
    <cfRule type="duplicateValues" dxfId="131" priority="30"/>
    <cfRule type="duplicateValues" dxfId="130" priority="31"/>
    <cfRule type="duplicateValues" dxfId="129" priority="32"/>
  </conditionalFormatting>
  <conditionalFormatting sqref="B103:B112 B99:B101">
    <cfRule type="duplicateValues" dxfId="128" priority="178"/>
    <cfRule type="duplicateValues" dxfId="127" priority="179"/>
    <cfRule type="duplicateValues" dxfId="126" priority="180"/>
    <cfRule type="duplicateValues" dxfId="125" priority="181"/>
    <cfRule type="duplicateValues" dxfId="124" priority="182"/>
    <cfRule type="duplicateValues" dxfId="123" priority="183"/>
    <cfRule type="duplicateValues" dxfId="122" priority="184"/>
    <cfRule type="duplicateValues" dxfId="121" priority="185"/>
  </conditionalFormatting>
  <conditionalFormatting sqref="B113">
    <cfRule type="duplicateValues" dxfId="120" priority="146"/>
    <cfRule type="duplicateValues" dxfId="119" priority="147"/>
    <cfRule type="duplicateValues" dxfId="118" priority="148"/>
    <cfRule type="duplicateValues" dxfId="117" priority="149"/>
    <cfRule type="duplicateValues" dxfId="116" priority="150"/>
    <cfRule type="duplicateValues" dxfId="115" priority="151"/>
    <cfRule type="duplicateValues" dxfId="114" priority="152"/>
    <cfRule type="duplicateValues" dxfId="113" priority="153"/>
  </conditionalFormatting>
  <conditionalFormatting sqref="B184">
    <cfRule type="duplicateValues" dxfId="112" priority="1"/>
    <cfRule type="duplicateValues" dxfId="111" priority="2"/>
    <cfRule type="duplicateValues" dxfId="110" priority="3"/>
    <cfRule type="duplicateValues" dxfId="109" priority="4"/>
    <cfRule type="duplicateValues" dxfId="108" priority="5"/>
    <cfRule type="duplicateValues" dxfId="107" priority="6"/>
    <cfRule type="duplicateValues" dxfId="106" priority="7"/>
    <cfRule type="duplicateValues" dxfId="105" priority="8"/>
  </conditionalFormatting>
  <conditionalFormatting sqref="B185:B186">
    <cfRule type="duplicateValues" dxfId="104" priority="162"/>
    <cfRule type="duplicateValues" dxfId="103" priority="163"/>
    <cfRule type="duplicateValues" dxfId="102" priority="164"/>
    <cfRule type="duplicateValues" dxfId="101" priority="165"/>
    <cfRule type="duplicateValues" dxfId="100" priority="166"/>
    <cfRule type="duplicateValues" dxfId="99" priority="167"/>
    <cfRule type="duplicateValues" dxfId="98" priority="168"/>
    <cfRule type="duplicateValues" dxfId="97" priority="169"/>
  </conditionalFormatting>
  <conditionalFormatting sqref="B187:B219">
    <cfRule type="duplicateValues" dxfId="96" priority="194"/>
    <cfRule type="duplicateValues" dxfId="95" priority="195"/>
    <cfRule type="duplicateValues" dxfId="94" priority="196"/>
    <cfRule type="duplicateValues" dxfId="93" priority="197"/>
    <cfRule type="duplicateValues" dxfId="92" priority="198"/>
    <cfRule type="duplicateValues" dxfId="91" priority="199"/>
    <cfRule type="duplicateValues" dxfId="90" priority="200"/>
    <cfRule type="duplicateValues" dxfId="89" priority="201"/>
  </conditionalFormatting>
  <conditionalFormatting sqref="B220 B142:B148 B124:B140 B114:B122 B97:B98 B84 B93">
    <cfRule type="duplicateValues" dxfId="88" priority="130"/>
    <cfRule type="duplicateValues" dxfId="87" priority="131"/>
    <cfRule type="duplicateValues" dxfId="86" priority="132"/>
    <cfRule type="duplicateValues" dxfId="85" priority="133"/>
    <cfRule type="duplicateValues" dxfId="84" priority="134"/>
    <cfRule type="duplicateValues" dxfId="83" priority="135"/>
    <cfRule type="duplicateValues" dxfId="82" priority="136"/>
    <cfRule type="duplicateValues" dxfId="81" priority="137"/>
  </conditionalFormatting>
  <conditionalFormatting sqref="B221">
    <cfRule type="duplicateValues" dxfId="80" priority="106"/>
    <cfRule type="duplicateValues" dxfId="79" priority="107"/>
    <cfRule type="duplicateValues" dxfId="78" priority="108"/>
    <cfRule type="duplicateValues" dxfId="77" priority="109"/>
    <cfRule type="duplicateValues" dxfId="76" priority="110"/>
    <cfRule type="duplicateValues" dxfId="75" priority="111"/>
    <cfRule type="duplicateValues" dxfId="74" priority="112"/>
    <cfRule type="duplicateValues" dxfId="73" priority="113"/>
  </conditionalFormatting>
  <conditionalFormatting sqref="B5:C5">
    <cfRule type="duplicateValues" dxfId="72" priority="98"/>
    <cfRule type="duplicateValues" dxfId="71" priority="99"/>
    <cfRule type="duplicateValues" dxfId="70" priority="100"/>
    <cfRule type="duplicateValues" dxfId="69" priority="101"/>
    <cfRule type="duplicateValues" dxfId="68" priority="102"/>
    <cfRule type="duplicateValues" dxfId="67" priority="103"/>
    <cfRule type="duplicateValues" dxfId="66" priority="104"/>
    <cfRule type="duplicateValues" dxfId="65" priority="105"/>
  </conditionalFormatting>
  <conditionalFormatting sqref="B85:C86 B82:C82">
    <cfRule type="duplicateValues" dxfId="64" priority="170"/>
    <cfRule type="duplicateValues" dxfId="63" priority="171"/>
    <cfRule type="duplicateValues" dxfId="62" priority="172"/>
    <cfRule type="duplicateValues" dxfId="61" priority="173"/>
    <cfRule type="duplicateValues" dxfId="60" priority="174"/>
    <cfRule type="duplicateValues" dxfId="59" priority="175"/>
    <cfRule type="duplicateValues" dxfId="58" priority="176"/>
    <cfRule type="duplicateValues" dxfId="57" priority="177"/>
  </conditionalFormatting>
  <conditionalFormatting sqref="C58 C52:C53">
    <cfRule type="duplicateValues" dxfId="56" priority="73" stopIfTrue="1"/>
  </conditionalFormatting>
  <conditionalFormatting sqref="C77">
    <cfRule type="duplicateValues" dxfId="55" priority="33"/>
    <cfRule type="duplicateValues" dxfId="54" priority="34"/>
    <cfRule type="duplicateValues" dxfId="53" priority="35"/>
    <cfRule type="duplicateValues" dxfId="52" priority="36"/>
    <cfRule type="duplicateValues" dxfId="51" priority="37"/>
    <cfRule type="duplicateValues" dxfId="50" priority="38"/>
    <cfRule type="duplicateValues" dxfId="49" priority="39"/>
    <cfRule type="duplicateValues" dxfId="48" priority="40"/>
  </conditionalFormatting>
  <conditionalFormatting sqref="C81">
    <cfRule type="duplicateValues" dxfId="47" priority="49"/>
    <cfRule type="duplicateValues" dxfId="46" priority="50"/>
    <cfRule type="duplicateValues" dxfId="45" priority="51"/>
    <cfRule type="duplicateValues" dxfId="44" priority="52"/>
    <cfRule type="duplicateValues" dxfId="43" priority="53"/>
    <cfRule type="duplicateValues" dxfId="42" priority="54"/>
    <cfRule type="duplicateValues" dxfId="41" priority="55"/>
    <cfRule type="duplicateValues" dxfId="40" priority="56"/>
  </conditionalFormatting>
  <conditionalFormatting sqref="C109:C112 C83 C95:C96 C99:C107 B94:C94 B87:C92">
    <cfRule type="duplicateValues" dxfId="39" priority="186"/>
    <cfRule type="duplicateValues" dxfId="38" priority="187"/>
    <cfRule type="duplicateValues" dxfId="37" priority="188"/>
    <cfRule type="duplicateValues" dxfId="36" priority="189"/>
    <cfRule type="duplicateValues" dxfId="35" priority="190"/>
    <cfRule type="duplicateValues" dxfId="34" priority="191"/>
    <cfRule type="duplicateValues" dxfId="33" priority="192"/>
    <cfRule type="duplicateValues" dxfId="32" priority="193"/>
  </conditionalFormatting>
  <conditionalFormatting sqref="C113">
    <cfRule type="duplicateValues" dxfId="31" priority="154"/>
    <cfRule type="duplicateValues" dxfId="30" priority="155"/>
    <cfRule type="duplicateValues" dxfId="29" priority="156"/>
    <cfRule type="duplicateValues" dxfId="28" priority="157"/>
    <cfRule type="duplicateValues" dxfId="27" priority="158"/>
    <cfRule type="duplicateValues" dxfId="26" priority="159"/>
    <cfRule type="duplicateValues" dxfId="25" priority="160"/>
    <cfRule type="duplicateValues" dxfId="24" priority="161"/>
  </conditionalFormatting>
  <conditionalFormatting sqref="C114:C122 C93">
    <cfRule type="duplicateValues" dxfId="23" priority="138"/>
    <cfRule type="duplicateValues" dxfId="22" priority="139"/>
    <cfRule type="duplicateValues" dxfId="21" priority="140"/>
    <cfRule type="duplicateValues" dxfId="20" priority="141"/>
    <cfRule type="duplicateValues" dxfId="19" priority="142"/>
    <cfRule type="duplicateValues" dxfId="18" priority="143"/>
    <cfRule type="duplicateValues" dxfId="17" priority="144"/>
    <cfRule type="duplicateValues" dxfId="16" priority="145"/>
  </conditionalFormatting>
  <conditionalFormatting sqref="C125">
    <cfRule type="duplicateValues" dxfId="15" priority="9"/>
    <cfRule type="duplicateValues" dxfId="14" priority="10"/>
    <cfRule type="duplicateValues" dxfId="13" priority="11"/>
    <cfRule type="duplicateValues" dxfId="12" priority="12"/>
    <cfRule type="duplicateValues" dxfId="11" priority="13"/>
    <cfRule type="duplicateValues" dxfId="10" priority="14"/>
    <cfRule type="duplicateValues" dxfId="9" priority="15"/>
    <cfRule type="duplicateValues" dxfId="8" priority="16"/>
  </conditionalFormatting>
  <conditionalFormatting sqref="C221">
    <cfRule type="duplicateValues" dxfId="7" priority="114"/>
    <cfRule type="duplicateValues" dxfId="6" priority="115"/>
    <cfRule type="duplicateValues" dxfId="5" priority="116"/>
    <cfRule type="duplicateValues" dxfId="4" priority="117"/>
    <cfRule type="duplicateValues" dxfId="3" priority="118"/>
    <cfRule type="duplicateValues" dxfId="2" priority="119"/>
    <cfRule type="duplicateValues" dxfId="1" priority="120"/>
    <cfRule type="duplicateValues" dxfId="0" priority="121"/>
  </conditionalFormatting>
  <dataValidations count="2">
    <dataValidation type="list" allowBlank="1" showInputMessage="1" showErrorMessage="1" sqref="G34" xr:uid="{6238EF1D-D6BF-454A-A086-95EAD2DB9CFD}">
      <formula1>BusinessCapabilities</formula1>
    </dataValidation>
    <dataValidation type="list" allowBlank="1" showInputMessage="1" showErrorMessage="1" sqref="F64 F144:F147 F184:F195 F209" xr:uid="{5A72B5C6-43AE-43B9-933E-150BECEF041C}">
      <formula1>Domain</formula1>
    </dataValidation>
  </dataValidation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Sri - Resource Master -May </vt:lpstr>
      <vt:lpstr>for Kishore use</vt:lpstr>
      <vt:lpstr>Sheet3</vt:lpstr>
      <vt:lpstr>Employee 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Joshi</dc:creator>
  <cp:lastModifiedBy>Smita Joshi</cp:lastModifiedBy>
  <dcterms:created xsi:type="dcterms:W3CDTF">2025-06-04T05:42:58Z</dcterms:created>
  <dcterms:modified xsi:type="dcterms:W3CDTF">2025-06-11T06:03:31Z</dcterms:modified>
</cp:coreProperties>
</file>